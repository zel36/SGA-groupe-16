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ongo\Desktop\projet informatique\"/>
    </mc:Choice>
  </mc:AlternateContent>
  <xr:revisionPtr revIDLastSave="0" documentId="8_{95CFDEF3-22B8-462C-A150-9A1E031263BD}" xr6:coauthVersionLast="47" xr6:coauthVersionMax="47" xr10:uidLastSave="{00000000-0000-0000-0000-000000000000}"/>
  <bookViews>
    <workbookView xWindow="-110" yWindow="-110" windowWidth="19420" windowHeight="12220" activeTab="9" xr2:uid="{00000000-000D-0000-FFFF-FFFF00000000}"/>
  </bookViews>
  <sheets>
    <sheet name="Page de garde" sheetId="1" r:id="rId1"/>
    <sheet name="Stratégie" sheetId="2" r:id="rId2"/>
    <sheet name="Tests Fonctionnels LOT3" sheetId="3" r:id="rId3"/>
    <sheet name="Tests Partie Commune" sheetId="4" r:id="rId4"/>
    <sheet name="Tests Sécurité &amp; Oracle" sheetId="5" r:id="rId5"/>
    <sheet name="Scénarios Jury" sheetId="6" r:id="rId6"/>
    <sheet name="Tableau de bord" sheetId="7" r:id="rId7"/>
    <sheet name="TC - Partie commune" sheetId="8" r:id="rId8"/>
    <sheet name="TC - Lot 3 Supervision" sheetId="9" r:id="rId9"/>
    <sheet name="TC - Non fonctionnels" sheetId="10" r:id="rId10"/>
  </sheets>
  <calcPr calcId="181029"/>
</workbook>
</file>

<file path=xl/calcChain.xml><?xml version="1.0" encoding="utf-8"?>
<calcChain xmlns="http://schemas.openxmlformats.org/spreadsheetml/2006/main">
  <c r="H11" i="10" l="1"/>
  <c r="H19" i="9"/>
  <c r="H14" i="8"/>
</calcChain>
</file>

<file path=xl/sharedStrings.xml><?xml version="1.0" encoding="utf-8"?>
<sst xmlns="http://schemas.openxmlformats.org/spreadsheetml/2006/main" count="945" uniqueCount="624">
  <si>
    <t>INSTITUT SUPÉRIEUR DE GÉNIE ÉLECTRIQUE DU BURKINA FASO</t>
  </si>
  <si>
    <t>ISGE-BF — IC1 Promotion 2025-2026</t>
  </si>
  <si>
    <t>PLAN DE VALIDATION LOGICIEL (PVL)</t>
  </si>
  <si>
    <t>Système de Gestion d'Accès — Lot 3 : Module de Supervision</t>
  </si>
  <si>
    <t>Rédacteurs</t>
  </si>
  <si>
    <t>COMBERE Yendie Jeconias  |  ZONGO Elvis Landry</t>
  </si>
  <si>
    <t>Encadrant</t>
  </si>
  <si>
    <t>M. Alexis NAGALO</t>
  </si>
  <si>
    <t>Version</t>
  </si>
  <si>
    <t>1.0</t>
  </si>
  <si>
    <t>Date</t>
  </si>
  <si>
    <t>Mai 2026</t>
  </si>
  <si>
    <t>Statut</t>
  </si>
  <si>
    <t>Phase 1 — Spécification</t>
  </si>
  <si>
    <t>Phase couverte</t>
  </si>
  <si>
    <t>Lot 3 — Supervision</t>
  </si>
  <si>
    <t>LÉGENDE DES STATUTS</t>
  </si>
  <si>
    <t>À tester</t>
  </si>
  <si>
    <t>Test prévu mais non encore exécuté</t>
  </si>
  <si>
    <t>RÉUSSI</t>
  </si>
  <si>
    <t>Le résultat obtenu correspond au résultat attendu</t>
  </si>
  <si>
    <t>ÉCHOUÉ</t>
  </si>
  <si>
    <t>Le résultat obtenu ne correspond pas au résultat attendu</t>
  </si>
  <si>
    <t>N/A</t>
  </si>
  <si>
    <t>Cas de test non applicable dans la configuration courante</t>
  </si>
  <si>
    <t>BLOQUÉ</t>
  </si>
  <si>
    <t>Le test ne peut être exécuté pour une raison externe</t>
  </si>
  <si>
    <t>STRATÉGIE DE VALIDATION — SGA LOT 3 GESTION ET SUPERVISION</t>
  </si>
  <si>
    <t>1. OBJECTIFS DE LA VALIDATION</t>
  </si>
  <si>
    <t xml:space="preserve">  • Vérifier que chaque besoin fonctionnel du DSL est correctement implémenté.</t>
  </si>
  <si>
    <t xml:space="preserve">  • Contrôler la conformité des règles de gestion métier (blocage badge, lieu, journal d'audit non modifiable).</t>
  </si>
  <si>
    <t xml:space="preserve">  • Valider la sécurité de l'application (authentification SHA-256, droits utilisateurs, journal inaltérable).</t>
  </si>
  <si>
    <t xml:space="preserve">  • S'assurer que les exports CSV et PDF produisent des fichiers corrects et complets.</t>
  </si>
  <si>
    <t xml:space="preserve">  • Garantir la cohérence entre les diagrammes UML, le script SQL et le code Java livré.</t>
  </si>
  <si>
    <t xml:space="preserve">  • Vérifier l'absence de suppression physique de données (règle de gestion RG-02).</t>
  </si>
  <si>
    <t xml:space="preserve">  • [v1.1] Valider la création et le fonctionnement des tables HISTORIQUE_ACCES, JOURNAL_AUDIT et UTILISATEUR.</t>
  </si>
  <si>
    <t>2. NIVEAUX DE TEST ET RESPONSABILITÉS</t>
  </si>
  <si>
    <t>Niveau de test</t>
  </si>
  <si>
    <t>Responsable</t>
  </si>
  <si>
    <t>Objectif</t>
  </si>
  <si>
    <t>Outils / Méthode</t>
  </si>
  <si>
    <t>Phase</t>
  </si>
  <si>
    <t>Tests unitaires</t>
  </si>
  <si>
    <t>Binôme 2</t>
  </si>
  <si>
    <t>Valider chaque méthode Java isolément (DAO, Contrôleur, Utilitaires)</t>
  </si>
  <si>
    <t>JUnit 4 (compatible Java 8)</t>
  </si>
  <si>
    <t>Phase 2</t>
  </si>
  <si>
    <t>Tests d'intégration</t>
  </si>
  <si>
    <t>Valider les interactions Java ↔ JDBC ↔ Oracle (transactions, triggers)</t>
  </si>
  <si>
    <t>Tests manuels SQL Developer + interface Java</t>
  </si>
  <si>
    <t>Tests fonctionnels</t>
  </si>
  <si>
    <t>Binôme 3</t>
  </si>
  <si>
    <t>Valider chaque cas d'utilisation end-to-end via l'interface</t>
  </si>
  <si>
    <t>Tests manuels sur scénarios</t>
  </si>
  <si>
    <t>Phase 3</t>
  </si>
  <si>
    <t>Tests de non-régression</t>
  </si>
  <si>
    <t>Vérifier qu'une correction n'a pas cassé une fonctionnalité</t>
  </si>
  <si>
    <t>Ré-exécution des cas critiques</t>
  </si>
  <si>
    <t>Tests de sécurité</t>
  </si>
  <si>
    <t>Binômes 2 &amp; 3</t>
  </si>
  <si>
    <t>Valider authentification, hashage, droits, non-modifiabilité journal</t>
  </si>
  <si>
    <t>SQL Developer + tests manuels</t>
  </si>
  <si>
    <t>Phase 2 &amp; 3</t>
  </si>
  <si>
    <t>Tests Oracle directs</t>
  </si>
  <si>
    <t>Valider triggers, contraintes, séquences, interdiction UPDATE/DELETE sur JOURNAL_AUDIT</t>
  </si>
  <si>
    <t>Scripts SQL dans SQL Developer</t>
  </si>
  <si>
    <t>3. CRITÈRES D'ACCEPTATION GLOBAUX</t>
  </si>
  <si>
    <t>CRITIQUE</t>
  </si>
  <si>
    <t>100% des cas de test CRITIQUE doivent être RÉUSSIS avant toute livraison.</t>
  </si>
  <si>
    <t>MAJEUR</t>
  </si>
  <si>
    <t>Au moins 90% des cas de test MAJEUR doivent être RÉUSSIS.</t>
  </si>
  <si>
    <t>STANDARD</t>
  </si>
  <si>
    <t>Au moins 80% des cas de test STANDARD doivent être RÉUSSIS.</t>
  </si>
  <si>
    <t>BLOQUANT</t>
  </si>
  <si>
    <t>Tout cas avec statut BLOQUANT doit être résolu avant la soutenance finale.</t>
  </si>
  <si>
    <t>TESTS FONCTIONNELS — LOT 3 : GESTION ET SUPERVISION</t>
  </si>
  <si>
    <t>ISGE-BF | SGA | PVL v1.1 | À compléter par Binôme 2 (résultats) et Binôme 3 (validation finale)</t>
  </si>
  <si>
    <t>⚠ [AJOUT v1.1] Les cas CT-L3-24 à CT-L3-29 couvrent la vérification des tables HISTORIQUE_ACCES, JOURNAL_AUDIT, UTILISATEUR et des colonnes manquantes ajoutées par le Binôme 2 conformément au DCP v1.1.</t>
  </si>
  <si>
    <t>Réf. CT</t>
  </si>
  <si>
    <t>UC lié</t>
  </si>
  <si>
    <t>Priorité</t>
  </si>
  <si>
    <t>Description du cas de test</t>
  </si>
  <si>
    <t>Préconditions</t>
  </si>
  <si>
    <t>Actions / Données de test</t>
  </si>
  <si>
    <t>Résultat attendu</t>
  </si>
  <si>
    <t>Résultat obtenu
(Binôme 2)</t>
  </si>
  <si>
    <t>Statut
(Binôme 2)</t>
  </si>
  <si>
    <t>Observations
(Binôme 3)</t>
  </si>
  <si>
    <t>Statut final
(Binôme 3)</t>
  </si>
  <si>
    <t>CT-L3-01</t>
  </si>
  <si>
    <t>UC-L3-01</t>
  </si>
  <si>
    <t>Blocage d'un badge ACTIF avec motif valide</t>
  </si>
  <si>
    <t>Badge LEO-2025-0001 existe, statut ACTIF. Utilisateur connecté en tant que Superviseur.</t>
  </si>
  <si>
    <t>Sélectionner badge LEO-2025-0001 &gt; cliquer Bloquer &gt; saisir motif 'Perte' &gt; commentaire 'Badge perdu déclaré à la sécurité' &gt; Confirmer.</t>
  </si>
  <si>
    <t>Statut badge = SUSPENDU en base Oracle. Champs MOTIF_BLOCAGE et DATE_BLOCAGE renseignés. 1 ligne insérée dans JOURNAL_AUDIT (TYPE_ACTION = BLOCAGE_BADGE). Message de confirmation affiché.</t>
  </si>
  <si>
    <t>EN ATTENTE</t>
  </si>
  <si>
    <t>CT-L3-02</t>
  </si>
  <si>
    <t>Blocage d'un badge avec motif vide — rejet attendu</t>
  </si>
  <si>
    <t>Badge LEO-2025-0002 existe, statut ACTIF. Utilisateur connecté.</t>
  </si>
  <si>
    <t>Sélectionner badge &gt; cliquer Bloquer &gt; laisser champ motif vide &gt; tenter de Confirmer.</t>
  </si>
  <si>
    <t>Bouton Confirmer désactivé OU message d'erreur 'Motif obligatoire'. Aucune modification en base. Aucune ligne dans JOURNAL_AUDIT.</t>
  </si>
  <si>
    <t>CT-L3-03</t>
  </si>
  <si>
    <t>Blocage d'un badge déjà SUSPENDU — message informatif</t>
  </si>
  <si>
    <t>Badge LEO-2025-0003 existe, statut SUSPENDU.</t>
  </si>
  <si>
    <t>Sélectionner badge &gt; cliquer Bloquer.</t>
  </si>
  <si>
    <t>Message 'Ce badge est déjà suspendu'. Aucune modification en base. Aucune ligne dans JOURNAL_AUDIT.</t>
  </si>
  <si>
    <t>CT-L3-04</t>
  </si>
  <si>
    <t>Blocage d'un badge RÉVOQUÉ — rejet attendu</t>
  </si>
  <si>
    <t>Badge LEO-2025-0004 existe, statut RÉVOQUÉ.</t>
  </si>
  <si>
    <t>Sélectionner badge &gt; tenter de cliquer Bloquer.</t>
  </si>
  <si>
    <t>Bouton Bloquer désactivé OU message 'Action impossible sur un badge révoqué'. Aucune modification en base.</t>
  </si>
  <si>
    <t>CT-L3-05</t>
  </si>
  <si>
    <t>UC-L3-02</t>
  </si>
  <si>
    <t>Déblocage d'un badge SUSPENDU avec justification valide</t>
  </si>
  <si>
    <t>Badge LEO-2025-0001 existe, statut SUSPENDU (suite CT-L3-01).</t>
  </si>
  <si>
    <t>Sélectionner badge LEO-2025-0001 &gt; cliquer Débloquer &gt; saisir 'Badge retrouvé et vérifié par sécurité' &gt; Confirmer.</t>
  </si>
  <si>
    <t>Statut badge = ACTIF en base Oracle. Ligne insérée dans JOURNAL_AUDIT (TYPE_ACTION = DEBLOCAGE_BADGE). Message de confirmation.</t>
  </si>
  <si>
    <t>CT-L3-06</t>
  </si>
  <si>
    <t>Tentative de déblocage d'un badge EXPIRÉ — rejet attendu</t>
  </si>
  <si>
    <t>Badge LEO-2025-0010 existe, statut EXPIRÉ (DATE_EXPIRATION &lt; SYSDATE).</t>
  </si>
  <si>
    <t>Sélectionner badge &gt; cliquer Débloquer.</t>
  </si>
  <si>
    <t>Message 'Impossible de débloquer un badge expiré. Créer un nouveau badge.'. Aucune modification en base.</t>
  </si>
  <si>
    <t>CT-L3-07</t>
  </si>
  <si>
    <t>Tentative de déblocage d'un badge RÉVOQUÉ — rejet attendu</t>
  </si>
  <si>
    <t>Badge LEO-2025-0011 existe, statut RÉVOQUÉ.</t>
  </si>
  <si>
    <t>Sélectionner badge &gt; tenter Débloquer.</t>
  </si>
  <si>
    <t>Message 'Impossible de débloquer un badge révoqué.'. Aucune modification en base.</t>
  </si>
  <si>
    <t>CT-L3-08</t>
  </si>
  <si>
    <t>UC-L3-03</t>
  </si>
  <si>
    <t>Blocage d'un lieu OUVERT avec motif valide</t>
  </si>
  <si>
    <t>Lieu 'Salle Informatique 1' (ID=1) existe, statut OUVERT.</t>
  </si>
  <si>
    <t>Accéder module Supervision Lieux &gt; sélectionner Salle Informatique 1 &gt; Bloquer &gt; saisir 'Travaux urgents en cours' &gt; Confirmer.</t>
  </si>
  <si>
    <t>Statut lieu = BLOQUÉ en base Oracle. MOTIF_BLOCAGE et DATE_BLOCAGE renseignés. Ligne dans JOURNAL_AUDIT (BLOCAGE_LIEU). Indicateur BLOQUÉ visible dans la liste.</t>
  </si>
  <si>
    <t>CT-L3-09</t>
  </si>
  <si>
    <t>Accès tenté sur un lieu BLOQUÉ — refus systématique</t>
  </si>
  <si>
    <t>Lieu ID=1 est BLOQUÉ (suite CT-L3-08). Badge actif et profil autorisé disponibles.</t>
  </si>
  <si>
    <t>Simuler une tentative d'accès au lieu ID=1 avec badge ACTIF et profil valide.</t>
  </si>
  <si>
    <t>Accès REFUSÉ quel que soit le badge ou le profil. HISTORIQUE_ACCES contient la ligne avec RESULTAT='REFUSE' et MOTIF_REFUS='Lieu bloqué'.</t>
  </si>
  <si>
    <t>CT-L3-10</t>
  </si>
  <si>
    <t>Blocage d'un lieu avec motif vide — rejet attendu</t>
  </si>
  <si>
    <t>Lieu ID=2 'Laboratoire Réseau' existe, statut OUVERT.</t>
  </si>
  <si>
    <t>Sélectionner lieu &gt; Bloquer &gt; laisser motif vide &gt; tenter de confirmer.</t>
  </si>
  <si>
    <t>Confirmation impossible. Message 'Motif obligatoire'. Aucune modification en base.</t>
  </si>
  <si>
    <t>CT-L3-11</t>
  </si>
  <si>
    <t>UC-L3-04</t>
  </si>
  <si>
    <t>Déblocage d'un lieu BLOQUÉ avec justification</t>
  </si>
  <si>
    <t>Lieu ID=1 statut BLOQUÉ (suite CT-L3-08).</t>
  </si>
  <si>
    <t>Sélectionner lieu &gt; Débloquer &gt; saisir 'Travaux terminés, lieu sécurisé' &gt; Confirmer.</t>
  </si>
  <si>
    <t>Statut lieu = OUVERT en base. Ligne dans JOURNAL_AUDIT (DEBLOCAGE_LIEU). Les accès autorisés redeviennent possibles.</t>
  </si>
  <si>
    <t>CT-L3-12</t>
  </si>
  <si>
    <t>UC-L3-05</t>
  </si>
  <si>
    <t>Génération rapport avec filtre période uniquement</t>
  </si>
  <si>
    <t>Table HISTORIQUE_ACCES contient au moins 20 lignes sur la période 01/01/2025–31/12/2025.</t>
  </si>
  <si>
    <t>Accéder Rapports &gt; Date début = 01/01/2025, Date fin = 31/12/2025 &gt; Générer.</t>
  </si>
  <si>
    <t>Tableau affiché avec colonnes : Date/Heure, Personne, Badge, Lieu, Résultat, Motif refus. Compteurs Accordés/Refusés/Total corrects. Boutons Export activés.</t>
  </si>
  <si>
    <t>CT-L3-13</t>
  </si>
  <si>
    <t>Génération rapport avec filtre personne + période</t>
  </si>
  <si>
    <t>Personne 'OUEDRAOGO Kader' a effectué des accès en 2025.</t>
  </si>
  <si>
    <t>Saisir période 01/01/2025–31/12/2025 + sélectionner 'OUEDRAOGO Kader' &gt; Générer.</t>
  </si>
  <si>
    <t>Seules les lignes de 'OUEDRAOGO Kader' sont affichées. Compteurs corrects.</t>
  </si>
  <si>
    <t>CT-L3-14</t>
  </si>
  <si>
    <t>Génération rapport sans données sur la période — message informatif</t>
  </si>
  <si>
    <t>Aucun accès enregistré pour la période 01/01/2000–01/01/2001.</t>
  </si>
  <si>
    <t>Saisir période 01/01/2000–01/01/2001 &gt; Générer.</t>
  </si>
  <si>
    <t>Message 'Aucun accès enregistré pour cette période et ces critères.'. Tableau vide. Boutons Export désactivés.</t>
  </si>
  <si>
    <t>CT-L3-15</t>
  </si>
  <si>
    <t>Génération rapport sans date de début — rejet</t>
  </si>
  <si>
    <t>Utilisateur connecté.</t>
  </si>
  <si>
    <t>Laisser Date début vide &gt; saisir Date fin &gt; Générer.</t>
  </si>
  <si>
    <t>Message 'La date de début est obligatoire'. Aucune requête exécutée en base.</t>
  </si>
  <si>
    <t>CT-L3-16</t>
  </si>
  <si>
    <t>UC-L3-06</t>
  </si>
  <si>
    <t>Export CSV du rapport généré</t>
  </si>
  <si>
    <t>Rapport généré et affiché (suite CT-L3-12). Bouton Export CSV activé.</t>
  </si>
  <si>
    <t>Cliquer Export CSV &gt; choisir répertoire &gt; valider.</t>
  </si>
  <si>
    <t>Fichier .csv créé. Nom horodaté. Séparateur ';'. 1ère ligne = en-têtes. Nombre de lignes = lignes affichées.</t>
  </si>
  <si>
    <t>CT-L3-17</t>
  </si>
  <si>
    <t>Export PDF du rapport généré</t>
  </si>
  <si>
    <t>Rapport généré et affiché (suite CT-L3-12).</t>
  </si>
  <si>
    <t>Cliquer Export PDF &gt; choisir répertoire &gt; valider.</t>
  </si>
  <si>
    <t>Fichier .pdf créé. Contient : en-tête avec titre et période, tableau complet, pied de page horodaté. Données identiques au tableau affiché.</t>
  </si>
  <si>
    <t>CT-L3-18</t>
  </si>
  <si>
    <t>UC-L3-07</t>
  </si>
  <si>
    <t>Consultation du journal d'audit — lecture seule</t>
  </si>
  <si>
    <t>Actions de blocage/déblocage effectuées (CT-L3-01, CT-L3-05, CT-L3-08, CT-L3-11).</t>
  </si>
  <si>
    <t>Accéder module Audit &gt; consulter le journal &gt; tenter de modifier une ligne depuis l'interface.</t>
  </si>
  <si>
    <t>Lignes affichées en ordre chronologique décroissant. Interface en lecture seule (aucun bouton Modifier/Supprimer). Colonnes : ID, Date/Heure, Type action, Cible, Motif, Acteur, Rôle.</t>
  </si>
  <si>
    <t>CT-L3-19</t>
  </si>
  <si>
    <t>Non-modifiabilité JOURNAL_AUDIT — test Oracle UPDATE</t>
  </si>
  <si>
    <t>Table JOURNAL_AUDIT contient au moins 1 ligne.</t>
  </si>
  <si>
    <t>SQL Developer : UPDATE JOURNAL_AUDIT SET MOTIF='test modif' WHERE ROWNUM=1;</t>
  </si>
  <si>
    <t>Erreur Oracle ORA-20001 : 'SECURITE : Le journal d audit est non modifiable.' Aucune ligne modifiée.</t>
  </si>
  <si>
    <t>CT-L3-20</t>
  </si>
  <si>
    <t>Non-modifiabilité JOURNAL_AUDIT — test Oracle DELETE</t>
  </si>
  <si>
    <t>SQL Developer : DELETE FROM JOURNAL_AUDIT WHERE ROWNUM=1;</t>
  </si>
  <si>
    <t>Erreur Oracle ORA-20001 levée. COUNT(*) avant = COUNT(*) après. Aucune ligne supprimée.</t>
  </si>
  <si>
    <t>CT-L3-21</t>
  </si>
  <si>
    <t>UC-L3-08</t>
  </si>
  <si>
    <t>Authentification valide — accès accordé</t>
  </si>
  <si>
    <t>Utilisateur 'admin' avec mot de passe 'Admin2025!' existe en base (hash SHA-256 stocké).</t>
  </si>
  <si>
    <t>Saisir login='admin', mot de passe='Admin2025!' &gt; cliquer Connexion.</t>
  </si>
  <si>
    <t>Fenêtre d'accueil affichée avec nom 'admin' et rôle 'ADMINISTRATEUR'. Accès à tous les modules.</t>
  </si>
  <si>
    <t>CT-L3-22</t>
  </si>
  <si>
    <t>Authentification avec mot de passe incorrect — accès refusé</t>
  </si>
  <si>
    <t>Utilisateur 'admin' existe en base.</t>
  </si>
  <si>
    <t>Saisir login='admin', mot de passe='mauvais_mdp' &gt; cliquer Connexion.</t>
  </si>
  <si>
    <t>Message 'Identifiants incorrects. Veuillez réessayer.' Aucune fenêtre de navigation. Champ mot de passe vidé.</t>
  </si>
  <si>
    <t>CT-L3-23</t>
  </si>
  <si>
    <t>Vérification hash SHA-256 en base Oracle</t>
  </si>
  <si>
    <t>Compte 'admin' créé avec mot de passe 'Admin2025!'.</t>
  </si>
  <si>
    <t>SQL Developer : SELECT MOT_DE_PASSE_HASH FROM UTILISATEUR WHERE LOGIN='admin';</t>
  </si>
  <si>
    <t>Valeur retournée = chaîne hexadécimale 64 caractères (hash SHA-256). Aucun mot de passe en clair.</t>
  </si>
  <si>
    <t>CT-L3-24</t>
  </si>
  <si>
    <t>UC-L3-NEW</t>
  </si>
  <si>
    <t>[AJOUT v1.1] Vérification création table HISTORIQUE_ACCES en base</t>
  </si>
  <si>
    <t>Script SQL commun exécuté. Table HISTORIQUE_ACCES créée par Binôme 2.</t>
  </si>
  <si>
    <t>SQL Developer : SELECT TABLE_NAME FROM USER_TABLES WHERE TABLE_NAME='HISTORIQUE_ACCES'; Puis vérifier colonnes avec DESC HISTORIQUE_ACCES;</t>
  </si>
  <si>
    <t>Table HISTORIQUE_ACCES existe. Colonnes présentes : ID_HISTORIQUE, DATE_ACCES, RESULTAT, MOTIF_REFUS, ID_BADGE, ID_LIEU, ID_PERSONNE. Contrainte CHECK sur RESULTAT IN ('ACCORDE','REFUSE').</t>
  </si>
  <si>
    <t>CT-L3-25</t>
  </si>
  <si>
    <t>[AJOUT v1.1] Vérification création table JOURNAL_AUDIT en base</t>
  </si>
  <si>
    <t>Script SQL complet exécuté par Binôme 2.</t>
  </si>
  <si>
    <t>SQL Developer : SELECT TABLE_NAME FROM USER_TABLES WHERE TABLE_NAME='JOURNAL_AUDIT'; Puis DESC JOURNAL_AUDIT;</t>
  </si>
  <si>
    <t>Table JOURNAL_AUDIT existe. Colonnes : ID_AUDIT, DATE_ACTION, TYPE_ACTION, ID_CIBLE, TYPE_CIBLE, MOTIF, LOGIN_ACTEUR, ROLE_ACTEUR. Contrainte CHECK sur TYPE_CIBLE IN ('BADGE','LIEU').</t>
  </si>
  <si>
    <t>CT-L3-26</t>
  </si>
  <si>
    <t>[AJOUT v1.1] Vérification création table UTILISATEUR en base</t>
  </si>
  <si>
    <t>SQL Developer : DESC UTILISATEUR; SELECT * FROM USER_CONSTRAINTS WHERE TABLE_NAME='UTILISATEUR';</t>
  </si>
  <si>
    <t>Table UTILISATEUR existe. Colonnes : ID_UTILISATEUR, LOGIN (UNIQUE), MOT_DE_PASSE_HASH, ROLE, STATUT, ID_PERSONNE (FK optionnel). Contraintes CHECK sur ROLE et STATUT présentes.</t>
  </si>
  <si>
    <t>CT-L3-27</t>
  </si>
  <si>
    <t>[AJOUT v1.1] Vérification colonnes MOTIF_BLOCAGE et DATE_BLOCAGE dans BADGE</t>
  </si>
  <si>
    <t>ALTER TABLE BADGE ADD exécuté par Binôme 2.</t>
  </si>
  <si>
    <t>SQL Developer : DESC BADGE; Vérifier présence des colonnes.</t>
  </si>
  <si>
    <t>Colonnes MOTIF_BLOCAGE VARCHAR2(200) et DATE_BLOCAGE DATE présentes dans la table BADGE. Elles acceptent les valeurs NULL.</t>
  </si>
  <si>
    <t>CT-L3-28</t>
  </si>
  <si>
    <t>[AJOUT v1.1] Vérification colonnes MOTIF_BLOCAGE et DATE_BLOCAGE dans LIEU</t>
  </si>
  <si>
    <t>ALTER TABLE LIEU ADD exécuté par Binôme 2.</t>
  </si>
  <si>
    <t>SQL Developer : DESC LIEU; Vérifier présence des colonnes.</t>
  </si>
  <si>
    <t>Colonnes MOTIF_BLOCAGE VARCHAR2(200) et DATE_BLOCAGE DATE présentes dans la table LIEU.</t>
  </si>
  <si>
    <t>CT-L3-29</t>
  </si>
  <si>
    <t>[AJOUT v1.1] Vérification colonnes DATE_NAISSANCE et FONCTION dans PERSONNE</t>
  </si>
  <si>
    <t>ALTER TABLE PERSONNE ADD exécuté (suite au signalement manquements Binôme 1).</t>
  </si>
  <si>
    <t>SQL Developer : DESC PERSONNE; Vérifier présence de DATE_NAISSANCE et FONCTION.</t>
  </si>
  <si>
    <t>Colonnes DATE_NAISSANCE DATE et FONCTION VARCHAR2(50) présentes dans PERSONNE. FONCTION accepte les valeurs : Étudiant, Enseignant, Personnel, Visiteur, Agent sécurité.</t>
  </si>
  <si>
    <t>TESTS FONCTIONNELS — PARTIE COMMUNE (Personnes, Badges, Lieux)</t>
  </si>
  <si>
    <t>CT-PC-01</t>
  </si>
  <si>
    <t>UC-PC-01</t>
  </si>
  <si>
    <t>Création d'une personne avec toutes les données valides</t>
  </si>
  <si>
    <t>Aucune personne avec nom='KABORE', prénom='Issa', né le 15/05/2000.</t>
  </si>
  <si>
    <t>Saisir nom='KABORE', prénom='Issa', date naissance=15/05/2000, fonction='Étudiant' &gt; Valider.</t>
  </si>
  <si>
    <t>Personne créée avec ID généré automatiquement. Statut=ACTIF. Visible dans la liste.</t>
  </si>
  <si>
    <t>CT-PC-02</t>
  </si>
  <si>
    <t>Création personne avec champs obligatoires manquants</t>
  </si>
  <si>
    <t>Interface de création de personne ouverte.</t>
  </si>
  <si>
    <t>Laisser le champ 'Nom' vide &gt; tenter de valider.</t>
  </si>
  <si>
    <t>Message 'Le nom est obligatoire'. Aucun INSERT en base Oracle.</t>
  </si>
  <si>
    <t>CT-PC-03</t>
  </si>
  <si>
    <t>UC-PC-02</t>
  </si>
  <si>
    <t>Modification de la fonction d'une personne existante</t>
  </si>
  <si>
    <t>Personne 'KABORE Issa' (ID=1) existe, statut ACTIF, fonction='Étudiant'.</t>
  </si>
  <si>
    <t>Sélectionner KABORE Issa &gt; modifier fonction de 'Étudiant' à 'Personnel' &gt; Valider.</t>
  </si>
  <si>
    <t>Champ FONCTION mis à jour en base Oracle.</t>
  </si>
  <si>
    <t>CT-PC-04</t>
  </si>
  <si>
    <t>UC-PC-03</t>
  </si>
  <si>
    <t>Désactivation d'une personne (suppression logique)</t>
  </si>
  <si>
    <t>Personne 'TRAORE Ali' (ID=2) existe, statut ACTIF, sans badge actif.</t>
  </si>
  <si>
    <t>Sélectionner TRAORE Ali &gt; Désactiver &gt; confirmer.</t>
  </si>
  <si>
    <t>STATUT=INACTIF en base. Ligne toujours présente (pas de DELETE physique). Trigger TRG_NO_DELETE_PERSONNE opérationnel.</t>
  </si>
  <si>
    <t>CT-PC-05</t>
  </si>
  <si>
    <t>UC-PC-04</t>
  </si>
  <si>
    <t>Recherche d'une personne par nom</t>
  </si>
  <si>
    <t>Au moins 3 personnes enregistrées dont 'KABORE Issa'.</t>
  </si>
  <si>
    <t>Saisir 'KABORE' dans le champ de recherche &gt; lancer la recherche.</t>
  </si>
  <si>
    <t>Toutes les personnes avec nom contenant 'KABORE' affichées avec statut.</t>
  </si>
  <si>
    <t>CT-PC-06</t>
  </si>
  <si>
    <t>UC-PC-05</t>
  </si>
  <si>
    <t>Création d'un badge et association à une personne</t>
  </si>
  <si>
    <t>Personne 'KABORE Issa' (ID=1) active, sans badge actif.</t>
  </si>
  <si>
    <t>Accéder Gestion Badges &gt; créer badge pour KABORE Issa &gt; date expiration 01/06/2026 &gt; Valider.</t>
  </si>
  <si>
    <t>Badge créé avec numéro unique (ex: LEO-2025-0001), statut=ACTIF. KABORE Issa ne peut plus avoir de second badge actif (RG-01).</t>
  </si>
  <si>
    <t>CT-PC-07</t>
  </si>
  <si>
    <t>Tentative de création d'un second badge ACTIF pour la même personne</t>
  </si>
  <si>
    <t>KABORE Issa possède déjà un badge ACTIF.</t>
  </si>
  <si>
    <t>Tenter de créer un nouveau badge pour KABORE Issa.</t>
  </si>
  <si>
    <t>Message 'Cette personne possède déjà un badge actif. Révoquez l'ancien avant d'en créer un nouveau.'. Aucun INSERT en base.</t>
  </si>
  <si>
    <t>CT-PC-08</t>
  </si>
  <si>
    <t>UC-PC-06</t>
  </si>
  <si>
    <t>Liste des badges actifs, expirés et révoqués</t>
  </si>
  <si>
    <t>Badges avec différents statuts présents en base.</t>
  </si>
  <si>
    <t>Accéder Gestion Badges &gt; filtrer par statut 'ACTIF' puis 'EXPIRÉ' puis 'RÉVOQUÉ'.</t>
  </si>
  <si>
    <t>Listes filtrées correctement. Compteurs correspondent au nombre réel de badges par statut.</t>
  </si>
  <si>
    <t>CT-PC-09</t>
  </si>
  <si>
    <t>UC-PC-07</t>
  </si>
  <si>
    <t>Création d'un lieu avec toutes les caractéristiques</t>
  </si>
  <si>
    <t>Aucun lieu 'Amphithéâtre A' en base.</t>
  </si>
  <si>
    <t>Saisir libellé='Amphithéâtre A', emplacement='Bâtiment B RDC', horaires='Lun-Sam 07h-20h', capacité=120, statut=OUVERT &gt; Valider.</t>
  </si>
  <si>
    <t>Lieu créé avec ID généré. Visible dans la liste avec statut OUVERT.</t>
  </si>
  <si>
    <t>CT-PC-10</t>
  </si>
  <si>
    <t>Interdiction de suppression physique d'une personne via SQL direct</t>
  </si>
  <si>
    <t>Personne ID=1 existe en base Oracle.</t>
  </si>
  <si>
    <t>SQL Developer : DELETE FROM PERSONNE WHERE ID_PERSONNE=1;</t>
  </si>
  <si>
    <t>Erreur Oracle levée par trigger TRG_NO_DELETE_PERSONNE. Aucune ligne supprimée.</t>
  </si>
  <si>
    <t>TESTS DE SÉCURITÉ ET TESTS ORACLE DIRECTS</t>
  </si>
  <si>
    <t>⚠ [AJOUT v1.1] CT-SEC-13 à CT-SEC-15 couvrent l'intégrité des nouvelles tables JOURNAL_AUDIT, UTILISATEUR et HISTORIQUE_ACCES.</t>
  </si>
  <si>
    <t>CT-SEC-01</t>
  </si>
  <si>
    <t>Authentification</t>
  </si>
  <si>
    <t>Hash SHA-256 : vérification valeur stockée en base</t>
  </si>
  <si>
    <t>Compte 'superviseur' créé avec mdp 'Super2025@'.</t>
  </si>
  <si>
    <t>SQL Developer : SELECT MOT_DE_PASSE_HASH FROM UTILISATEUR WHERE LOGIN='superviseur'; Comparer avec hash SHA-256 attendu de 'Super2025@'.</t>
  </si>
  <si>
    <t>Valeur = chaîne hexadécimale 64 caractères correspondant au SHA-256 de 'Super2025@'. Aucun mot de passe en clair.</t>
  </si>
  <si>
    <t>CT-SEC-02</t>
  </si>
  <si>
    <t>Compte INACTIF ne peut pas se connecter</t>
  </si>
  <si>
    <t>Utilisateur 'ancien_admin' avec STATUT='INACTIF'.</t>
  </si>
  <si>
    <t>Tenter de se connecter avec login='ancien_admin' et son mot de passe correct.</t>
  </si>
  <si>
    <t>Accès refusé. Message générique 'Identifiants incorrects' (ne révèle pas l'existence du compte).</t>
  </si>
  <si>
    <t>CT-SEC-03</t>
  </si>
  <si>
    <t>Journal Audit</t>
  </si>
  <si>
    <t>Trigger TRG_PROTECT_AUDIT : test UPDATE</t>
  </si>
  <si>
    <t>Table JOURNAL_AUDIT contient au moins 1 ligne (ID_AUDIT=1).</t>
  </si>
  <si>
    <t>SQL Developer : UPDATE JOURNAL_AUDIT SET MOTIF='test falsification' WHERE ID_AUDIT=1; COMMIT;</t>
  </si>
  <si>
    <t>ORA-20001 : 'SECURITE : Le journal d audit est non modifiable.' Aucune donnée modifiée. ROLLBACK automatique.</t>
  </si>
  <si>
    <t>CT-SEC-04</t>
  </si>
  <si>
    <t>Trigger TRG_PROTECT_AUDIT : test DELETE</t>
  </si>
  <si>
    <t>SQL Developer : DELETE FROM JOURNAL_AUDIT WHERE ROWNUM=1; COMMIT;</t>
  </si>
  <si>
    <t>ORA-20001 levée. COUNT(*) avant = COUNT(*) après. Aucune ligne supprimée.</t>
  </si>
  <si>
    <t>CT-SEC-05</t>
  </si>
  <si>
    <t>Insertion automatique dans JOURNAL_AUDIT via trigger TRG_AUDIT_BADGE</t>
  </si>
  <si>
    <t>Badge ID=5 statut ACTIF. Aucune ligne JOURNAL_AUDIT pour ID_CIBLE=5 TYPE=BLOCAGE_BADGE.</t>
  </si>
  <si>
    <t>Bloquer badge ID=5 via l'interface Java. SQL Developer : SELECT * FROM JOURNAL_AUDIT WHERE ID_CIBLE=5 AND TYPE_CIBLE='BADGE';</t>
  </si>
  <si>
    <t>1 ligne insérée automatiquement par trigger (PAS par Java). TYPE_ACTION='BLOCAGE_BADGE'. DATE_ACTION = SYSDATE Oracle. LOGIN_ACTEUR renseigné.</t>
  </si>
  <si>
    <t>CT-SEC-06</t>
  </si>
  <si>
    <t>Insertion automatique dans JOURNAL_AUDIT via trigger TRG_AUDIT_LIEU</t>
  </si>
  <si>
    <t>Lieu ID=2 statut OUVERT. Aucune ligne audit pour ID_CIBLE=2 TYPE=BLOCAGE_LIEU.</t>
  </si>
  <si>
    <t>Bloquer lieu ID=2 via l'interface. SQL Developer : SELECT * FROM JOURNAL_AUDIT WHERE ID_CIBLE=2 AND TYPE_CIBLE='LIEU';</t>
  </si>
  <si>
    <t>1 ligne insérée automatiquement par trigger. TYPE_ACTION='BLOCAGE_LIEU'. Horodatage Oracle.</t>
  </si>
  <si>
    <t>CT-SEC-07</t>
  </si>
  <si>
    <t>Intégrité BD</t>
  </si>
  <si>
    <t>Trigger TRG_NO_DELETE_PERSONNE : interdiction suppression physique</t>
  </si>
  <si>
    <t>Personne ID=3 existe en base.</t>
  </si>
  <si>
    <t>SQL Developer : DELETE FROM PERSONNE WHERE ID_PERSONNE=3;</t>
  </si>
  <si>
    <t>Erreur Oracle levée par TRG_NO_DELETE_PERSONNE. Aucune ligne supprimée.</t>
  </si>
  <si>
    <t>CT-SEC-08</t>
  </si>
  <si>
    <t>Contrainte unicité BADGE.NUMERO_BADGE</t>
  </si>
  <si>
    <t>Badge LEO-2025-0001 existe en base.</t>
  </si>
  <si>
    <t>SQL Developer : INSERT INTO BADGE (NUMERO_BADGE,...) VALUES ('LEO-2025-0001',...);</t>
  </si>
  <si>
    <t>ORA-00001 : violation de contrainte d'unicité. Aucun badge dupliqué créé.</t>
  </si>
  <si>
    <t>CT-SEC-09</t>
  </si>
  <si>
    <t>Contrainte CHECK BADGE.STATUT</t>
  </si>
  <si>
    <t>Table BADGE accessible.</t>
  </si>
  <si>
    <t>SQL Developer : INSERT INTO BADGE (..., STATUT,...) VALUES (...,'INVALIDE',...);</t>
  </si>
  <si>
    <t>ORA-02290 : violation de contrainte CHECK. Seules les valeurs ACTIF/SUSPENDU/EXPIRÉ/RÉVOQUÉ acceptées.</t>
  </si>
  <si>
    <t>CT-SEC-10</t>
  </si>
  <si>
    <t>Transactions JDBC</t>
  </si>
  <si>
    <t>Rollback JDBC en cas d'erreur lors d'un blocage badge</t>
  </si>
  <si>
    <t>Badge ID=6 statut ACTIF. Simuler une erreur Oracle après UPDATE BADGE.</t>
  </si>
  <si>
    <t>Provoquer volontairement une erreur SQL dans la transaction de blocage. Vérifier l'état de la base après l'exception.</t>
  </si>
  <si>
    <t>Aucun UPDATE partiel en base. Badge ID=6 reste ACTIF. Aucune ligne dans JOURNAL_AUDIT. Le rollback JDBC a bien été exécuté.</t>
  </si>
  <si>
    <t>CT-SEC-11</t>
  </si>
  <si>
    <t>Droits applicatif</t>
  </si>
  <si>
    <t>Superviseur n'a pas accès au module Gestion des personnes (création)</t>
  </si>
  <si>
    <t>Utilisateur 'superviseur1' connecté avec ROLE='SUPERVISEUR'.</t>
  </si>
  <si>
    <t>Tenter d'accéder au formulaire de création de personne depuis FenetreAccueil.</t>
  </si>
  <si>
    <t>Option non disponible OU message 'Accès non autorisé pour votre rôle'. Aucun formulaire de création accessible.</t>
  </si>
  <si>
    <t>CT-SEC-12</t>
  </si>
  <si>
    <t>Séquences Oracle</t>
  </si>
  <si>
    <t>Vérification des séquences Oracle — unicité et continuité</t>
  </si>
  <si>
    <t>Séquences créées dans le script SQL.</t>
  </si>
  <si>
    <t>SQL Developer : SELECT SEQUENCE_NAME FROM USER_SEQUENCES; Vérifier présence de toutes les séquences définies dans le DCP.</t>
  </si>
  <si>
    <t>Séquences présentes : SEQ_HISTORIQUE, SEQ_AUDIT, SEQ_UTILISATEUR (Lot 3) + séquences communes. Valeurs croissantes et uniques.</t>
  </si>
  <si>
    <t>CT-SEC-13</t>
  </si>
  <si>
    <t>[AJOUT v1.1] Contrainte CHECK JOURNAL_AUDIT.TYPE_CIBLE</t>
  </si>
  <si>
    <t>Table JOURNAL_AUDIT créée (CT-L3-25).</t>
  </si>
  <si>
    <t>SQL Developer : INSERT INTO JOURNAL_AUDIT (TYPE_CIBLE,...) VALUES ('INCONNU',...);</t>
  </si>
  <si>
    <t>ORA-02290 : violation de contrainte CHECK. Seules les valeurs 'BADGE' et 'LIEU' acceptées dans TYPE_CIBLE.</t>
  </si>
  <si>
    <t>CT-SEC-14</t>
  </si>
  <si>
    <t>[AJOUT v1.1] Contrainte UNIQUE UTILISATEUR.LOGIN</t>
  </si>
  <si>
    <t>Utilisateur avec login='admin' existe en base.</t>
  </si>
  <si>
    <t>SQL Developer : INSERT INTO UTILISATEUR (LOGIN,...) VALUES ('admin',...);</t>
  </si>
  <si>
    <t>ORA-00001 : violation de contrainte d'unicité sur LOGIN. Aucun doublon de login possible.</t>
  </si>
  <si>
    <t>CT-SEC-15</t>
  </si>
  <si>
    <t>[AJOUT v1.1] FK HISTORIQUE_ACCES → BADGE : intégrité référentielle</t>
  </si>
  <si>
    <t>Table HISTORIQUE_ACCES créée. Aucun badge avec ID=9999.</t>
  </si>
  <si>
    <t>SQL Developer : INSERT INTO HISTORIQUE_ACCES (ID_BADGE,...) VALUES (9999,...);</t>
  </si>
  <si>
    <t>ORA-02291 : violation de contrainte d'intégrité référentielle. Impossible d'insérer un historique pour un badge inexistant.</t>
  </si>
  <si>
    <t>SCÉNARIOS IMPRÉVUS — QUESTIONS JURY (Section 7.2 du cahier des charges)</t>
  </si>
  <si>
    <t>Ces scénarios sont posés à l'oral de soutenance. Préparez une réponse technique précise et démontrable.</t>
  </si>
  <si>
    <t>Réf.</t>
  </si>
  <si>
    <t>Question type jury</t>
  </si>
  <si>
    <t>Réponse technique attendue</t>
  </si>
  <si>
    <t>Traité en soutenance</t>
  </si>
  <si>
    <t>SI-01</t>
  </si>
  <si>
    <t>Que se passe-t-il si un badge expire pendant qu'une personne est déjà dans la zone ?</t>
  </si>
  <si>
    <t>Le système ne gère pas les accès en temps réel (simulation). En architecture réelle : le badge expiré ne permet plus de sortie enregistrée. L'historique conserve l'entrée. Un processus batch (trigger planifié) met à jour les badges expirés via :
UPDATE BADGE SET STATUT='EXPIRÉ' WHERE DATE_EXPIRATION &lt; SYSDATE AND STATUT='ACTIF';</t>
  </si>
  <si>
    <t>À préparer</t>
  </si>
  <si>
    <t>SI-02</t>
  </si>
  <si>
    <t>Comment votre système gère-t-il deux tentatives d'accès simultanées avec le même badge ?</t>
  </si>
  <si>
    <t>Oracle gère la concurrence via le mécanisme de verrous (MVCC). Deux transactions simultanées sur le même badge : la première commite, la seconde relira le nouvel état. La couche JDBC avec setAutoCommit(false) garantit l'atomicité de chaque opération de contrôle.</t>
  </si>
  <si>
    <t>SI-03</t>
  </si>
  <si>
    <t>Si un lieu est bloqué et qu'un accès est tenté, que doit faire votre application exactement ?</t>
  </si>
  <si>
    <t>1) SELECT STATUT FROM LIEU WHERE ID_LIEU=? → résultat='BLOQUÉ'.
2) INSERT dans HISTORIQUE_ACCES avec RESULTAT='REFUSE' et MOTIF_REFUS='Lieu bloqué - accès interdit'.
3) Retourner message de refus à l'interface.
Aucun accès accordé, quel que soit le badge ou le profil.</t>
  </si>
  <si>
    <t>SI-04</t>
  </si>
  <si>
    <t>Votre journal d'audit est-il vraiment non modifiable ? Prouvez-le techniquement.</t>
  </si>
  <si>
    <t>Démonstration live dans SQL Developer :
1) SELECT * FROM JOURNAL_AUDIT;
2) UPDATE JOURNAL_AUDIT SET MOTIF='test' WHERE ROWNUM=1;
3) Montrer l'erreur ORA-20001 levée par TRG_PROTECT_AUDIT.
4) Re-vérifier que les données n'ont pas changé.</t>
  </si>
  <si>
    <t>SI-05</t>
  </si>
  <si>
    <t>Expliquez le flux complet de connexion, de la saisie du mot de passe jusqu'à la vérification en base.</t>
  </si>
  <si>
    <t>1) JPasswordField.getPassword() → char[].
2) MessageDigest.getInstance('SHA-256').digest() → byte[].
3) Conversion byte[] → String hexadécimale 64 chars.
4) PreparedStatement SELECT où MOT_DE_PASSE_HASH=? avec la valeur hashée.
5) Si résultat non vide : session ouverte. Sinon : message générique.</t>
  </si>
  <si>
    <t>SI-06</t>
  </si>
  <si>
    <t>[AJOUT v1.1] Pourquoi avoir créé JOURNAL_AUDIT séparément de HISTORIQUE_EVENEMENT du script commun ?</t>
  </si>
  <si>
    <t>HISTORIQUE_EVENEMENT est un journal général non protégé contre les modifications. JOURNAL_AUDIT est une table d'audit non modifiable, garantie par le trigger TRG_PROTECT_AUDIT (ORA-20001 sur tout UPDATE/DELETE). Fusionner les deux ferait perdre cette garantie d'intégrité, pourtant exigée explicitement par le sujet.</t>
  </si>
  <si>
    <t>SI-07</t>
  </si>
  <si>
    <t>[AJOUT v1.1] Pourquoi avoir créé HISTORIQUE_ACCES séparément de HISTORIQUE_EVENEMENT ?</t>
  </si>
  <si>
    <t>HISTORIQUE_ACCES est optimisée pour les requêtes de rapport : elle contient RESULTAT (ACCORDE/REFUSE), MOTIF_REFUS, et une dénormalisation de ID_PERSONNE pour accélérer les jointures. HISTORIQUE_EVENEMENT est un journal généraliste. Utiliser HISTORIQUE_EVENEMENT pour les rapports aurait compliqué les requêtes SQL et dégradé les performances.</t>
  </si>
  <si>
    <t>TABLEAU DE BORD — SUIVI DE LA VALIDATION</t>
  </si>
  <si>
    <t>ISGE-BF | SGA LOT 3 | PVL v1.1 — Mis à jour par Binômes 2 et 3</t>
  </si>
  <si>
    <t>1. RÉCAPITULATIF PAR PRIORITÉ</t>
  </si>
  <si>
    <t>Total cas</t>
  </si>
  <si>
    <t>Réussis (B2)</t>
  </si>
  <si>
    <t>Échecs (B2)</t>
  </si>
  <si>
    <t>En attente (B2)</t>
  </si>
  <si>
    <t>Réussis (B3)</t>
  </si>
  <si>
    <t>Échecs (B3)</t>
  </si>
  <si>
    <t>En attente (B3)</t>
  </si>
  <si>
    <t>TOTAL</t>
  </si>
  <si>
    <t>⚠  Les colonnes Réussis/Échecs/En attente sont à compléter par les Binômes 2 et 3 au fil de l'exécution des tests. Les totaux se mettront à jour automatiquement.</t>
  </si>
  <si>
    <t>2. CRITÈRES DE RÉUSSITE</t>
  </si>
  <si>
    <t>100% des cas CRITIQUE réussis avant livraison</t>
  </si>
  <si>
    <t>≥ 90% des cas MAJEUR réussis</t>
  </si>
  <si>
    <t>≥ 80% des cas STANDARD réussis</t>
  </si>
  <si>
    <t>Tout cas BLOQUANT résolu avant soutenance</t>
  </si>
  <si>
    <t>PLAN DE VALIDATION LOGICIEL — PARTIE COMMUNE</t>
  </si>
  <si>
    <t>SGA ISGE-BF 2025-2026 | Lot 3 : Supervision | COMBERE Yendie Jeconias &amp; ZONGO Elvis Landry</t>
  </si>
  <si>
    <t>N°</t>
  </si>
  <si>
    <t>Fonctionnalité</t>
  </si>
  <si>
    <t>Description du test</t>
  </si>
  <si>
    <t>Précondition(s)</t>
  </si>
  <si>
    <t>Actions / Étapes</t>
  </si>
  <si>
    <t>Résultat obtenu</t>
  </si>
  <si>
    <t>Observations</t>
  </si>
  <si>
    <t>TC-C01</t>
  </si>
  <si>
    <t>Gestion personnes</t>
  </si>
  <si>
    <t>Création d'une personne valide</t>
  </si>
  <si>
    <t>Application démarrée, opérateur authentifié avec droits d'administration</t>
  </si>
  <si>
    <t>1. Ouvrir le formulaire 'Nouvelle personne'
2. Saisir tous les champs (nom, prénom, date naissance, fonction)
3. Cliquer sur 'Enregistrer'</t>
  </si>
  <si>
    <t>La personne est créée avec un identifiant unique généré automatiquement. Un message de confirmation s'affiche. La personne apparaît dans la liste avec statut 'ACTIF'.</t>
  </si>
  <si>
    <t>TC-C02</t>
  </si>
  <si>
    <t>Création avec champ obligatoire manquant</t>
  </si>
  <si>
    <t>Formulaire 'Nouvelle personne' ouvert</t>
  </si>
  <si>
    <t>1. Laisser le champ 'Nom' vide
2. Remplir les autres champs
3. Cliquer sur 'Enregistrer'</t>
  </si>
  <si>
    <t>Le système refuse la validation et affiche un message d'erreur indiquant le champ manquant. Aucun enregistrement n'est créé en base.</t>
  </si>
  <si>
    <t>TC-C03</t>
  </si>
  <si>
    <t>Modification d'une personne existante</t>
  </si>
  <si>
    <t>Au moins une personne enregistrée dans le système</t>
  </si>
  <si>
    <t>1. Rechercher une personne
2. Ouvrir sa fiche
3. Modifier la fonction
4. Enregistrer</t>
  </si>
  <si>
    <t>La modification est sauvegardée. La fiche affiche la nouvelle valeur. Un message de confirmation s'affiche.</t>
  </si>
  <si>
    <t>TC-C04</t>
  </si>
  <si>
    <t>Personne avec statut 'ACTIF' existante</t>
  </si>
  <si>
    <t>1. Sélectionner la personne
2. Cliquer sur 'Désactiver'
3. Confirmer l'action</t>
  </si>
  <si>
    <t>Le statut de la personne passe à 'INACTIF'. La personne n'est pas supprimée de la base. Elle n'apparaît plus dans les listes actives mais reste consultable.</t>
  </si>
  <si>
    <t>Vérifier qu'aucune suppression physique (DELETE) n'est exécutée en base</t>
  </si>
  <si>
    <t>TC-C05</t>
  </si>
  <si>
    <t>Recherche par nom</t>
  </si>
  <si>
    <t>Au moins 5 personnes enregistrées</t>
  </si>
  <si>
    <t>1. Accéder au module de recherche
2. Saisir un nom partiel
3. Lancer la recherche</t>
  </si>
  <si>
    <t>La liste affiche uniquement les personnes dont le nom correspond (insensible à la casse). Le résultat est affiché en moins de 2 secondes.</t>
  </si>
  <si>
    <t>TC-C06</t>
  </si>
  <si>
    <t>Gestion badges</t>
  </si>
  <si>
    <t>Une personne active sans badge actif existante</t>
  </si>
  <si>
    <t>1. Accéder au module badges
2. Cliquer 'Nouveau badge'
3. Sélectionner la personne
4. Saisir les dates d'émission et d'expiration
5. Enregistrer</t>
  </si>
  <si>
    <t>Le badge est créé avec statut 'ACTIF' et associé à la personne. Numéro de badge unique généré. La personne apparaît liée au badge.</t>
  </si>
  <si>
    <t>TC-C07</t>
  </si>
  <si>
    <t>Unicité du badge actif par personne</t>
  </si>
  <si>
    <t>Une personne avec un badge actif déjà créé</t>
  </si>
  <si>
    <t>1. Tenter de créer un second badge actif pour la même personne
2. Enregistrer</t>
  </si>
  <si>
    <t>Le système refuse et affiche un message : 'Cette personne possède déjà un badge actif'. Aucun nouveau badge n'est créé.</t>
  </si>
  <si>
    <t>Règle métier critique à tester impérativement</t>
  </si>
  <si>
    <t>TC-C08</t>
  </si>
  <si>
    <t>Suppression logique d'un badge</t>
  </si>
  <si>
    <t>Badge avec statut 'ACTIF' existant</t>
  </si>
  <si>
    <t>1. Sélectionner le badge
2. Cliquer 'Supprimer'
3. Confirmer</t>
  </si>
  <si>
    <t>Le badge passe à statut 'EXPIRE' ou 'REVOQUE'. La date de suppression est horodatée. Le badge reste consultable. Aucun DELETE en base.</t>
  </si>
  <si>
    <t>TC-C09</t>
  </si>
  <si>
    <t>Gestion lieux</t>
  </si>
  <si>
    <t>Création d'un lieu</t>
  </si>
  <si>
    <t>Opérateur authentifié avec droits d'administration</t>
  </si>
  <si>
    <t>1. Ouvrir 'Nouveau lieu'
2. Remplir tous les champs
3. Enregistrer</t>
  </si>
  <si>
    <t>Le lieu est créé avec un identifiant unique, statut 'OUVERT'. Il apparaît dans la liste des lieux.</t>
  </si>
  <si>
    <t>TC-C10</t>
  </si>
  <si>
    <t>Consultation de la liste des lieux</t>
  </si>
  <si>
    <t>Au moins 3 lieux créés</t>
  </si>
  <si>
    <t>1. Accéder au module 'Lieux'
2. Consulter la liste</t>
  </si>
  <si>
    <t>Tous les lieux sont affichés avec leur statut actuel. L'affichage se fait en moins de 2 secondes.</t>
  </si>
  <si>
    <t>Réussis / Total</t>
  </si>
  <si>
    <t>PLAN DE VALIDATION LOGICIEL — LOT 3 — SUPERVISION</t>
  </si>
  <si>
    <t>TC-S01</t>
  </si>
  <si>
    <t>Blocage badge</t>
  </si>
  <si>
    <t>Blocage d'un badge actif avec motif valide</t>
  </si>
  <si>
    <t>Badge avec statut 'ACTIF' existant. Opérateur authentifié (niveau 2 minimum).</t>
  </si>
  <si>
    <t>1. Accéder à 'Supervision &gt; Blocage badge'
2. Rechercher le badge par numéro
3. Cliquer 'Bloquer'
4. Saisir le motif 'Perte du badge signalée'
5. Confirmer</t>
  </si>
  <si>
    <t>Badge passe à statut 'BLOQUÉ'. Horodatage et identité opérateur enregistrés. Une entrée est créée dans JOURNAL_AUDIT et dans ACTION_BLOCAGE. Message de confirmation affiché.</t>
  </si>
  <si>
    <t>Vérifier les 2 tables (ACTION_BLOCAGE + JOURNAL_AUDIT)</t>
  </si>
  <si>
    <t>TC-S02</t>
  </si>
  <si>
    <t>Tentative de blocage sans motif</t>
  </si>
  <si>
    <t>Badge actif sélectionné, formulaire de blocage ouvert</t>
  </si>
  <si>
    <t>1. Laisser le champ 'Motif' vide
2. Cliquer 'Confirmer'</t>
  </si>
  <si>
    <t>Le système refuse la validation. Message d'erreur : 'Le motif est obligatoire'. Aucun changement de statut. Aucune entrée dans le journal.</t>
  </si>
  <si>
    <t>Exigence non négociable</t>
  </si>
  <si>
    <t>TC-S03</t>
  </si>
  <si>
    <t>Tentative de blocage d'un badge déjà bloqué</t>
  </si>
  <si>
    <t>Badge avec statut 'BLOQUÉ' existant</t>
  </si>
  <si>
    <t>1. Sélectionner le badge bloqué
2. Tenter de le bloquer à nouveau</t>
  </si>
  <si>
    <t>Le système affiche un message informatif 'Ce badge est déjà bloqué'. Aucune nouvelle entrée en base. Pas de doublon dans le journal.</t>
  </si>
  <si>
    <t>TC-S04</t>
  </si>
  <si>
    <t>Déblocage badge</t>
  </si>
  <si>
    <t>Déblocage d'un badge bloqué avec justification</t>
  </si>
  <si>
    <t>1. Accéder à 'Supervision &gt; Déblocage badge'
2. Sélectionner le badge bloqué
3. Saisir la justification 'Badge retrouvé, identité vérifiée'
4. Confirmer</t>
  </si>
  <si>
    <t>Badge passe à statut 'ACTIF'. Horodatage et opérateur enregistrés. Entrée dans JOURNAL_AUDIT et ACTION_BLOCAGE. Message de confirmation.</t>
  </si>
  <si>
    <t>TC-S05</t>
  </si>
  <si>
    <t>Tentative de déblocage d'un badge expiré</t>
  </si>
  <si>
    <t>Badge avec statut 'EXPIRE' existant</t>
  </si>
  <si>
    <t>1. Sélectionner le badge expiré
2. Tenter de le débloquer</t>
  </si>
  <si>
    <t>Le système refuse et affiche un message : 'Ce badge est expiré et ne peut pas être débloqué'. Aucune modification en base.</t>
  </si>
  <si>
    <t>Vérifier la logique de transition de statut</t>
  </si>
  <si>
    <t>TC-S06</t>
  </si>
  <si>
    <t>Blocage lieu</t>
  </si>
  <si>
    <t>Blocage d'un lieu ouvert avec motif</t>
  </si>
  <si>
    <t>Lieu avec statut 'OUVERT'. Opérateur de niveau 2 minimum.</t>
  </si>
  <si>
    <t>1. Accéder à 'Supervision &gt; Blocage lieu'
2. Sélectionner le lieu
3. Saisir le motif 'Exercice d'évacuation'
4. Confirmer</t>
  </si>
  <si>
    <t>Lieu passe à statut 'BLOQUÉ'. Toute tentative d'accès à ce lieu doit être refusée. Entrée dans JOURNAL_AUDIT et ACTION_BLOCAGE.</t>
  </si>
  <si>
    <t>Tester conjointement avec simulation d'accès</t>
  </si>
  <si>
    <t>TC-S07</t>
  </si>
  <si>
    <t>Accès à un lieu bloqué via un badge actif</t>
  </si>
  <si>
    <t>Lieu bloqué, badge actif avec droits sur ce lieu</t>
  </si>
  <si>
    <t>1. Simuler une tentative d'accès au lieu bloqué via le badge
2. Observer le résultat</t>
  </si>
  <si>
    <t>Accès refusé, motif 'Lieu bloqué'. Entrée dans HISTORIQUE_ACCES avec résultat 'REFUSE'. Pas d'exception Java.</t>
  </si>
  <si>
    <t>TC-S08</t>
  </si>
  <si>
    <t>Déblocage lieu</t>
  </si>
  <si>
    <t>Déblocage d'un lieu avec justification</t>
  </si>
  <si>
    <t>Lieu avec statut 'BLOQUÉ'</t>
  </si>
  <si>
    <t>1. Sélectionner le lieu bloqué
2. Cliquer 'Débloquer'
3. Saisir justification 'Fin de l'exercice d'évacuation'
4. Confirmer</t>
  </si>
  <si>
    <t>Lieu repasse à statut 'OUVERT'. Entrées dans les tables d'audit. Les accès autorisés sont de nouveau possibles.</t>
  </si>
  <si>
    <t>TC-S09</t>
  </si>
  <si>
    <t>Rapport d'activité</t>
  </si>
  <si>
    <t>Génération rapport sur une période donnée</t>
  </si>
  <si>
    <t>Au moins 10 entrées dans HISTORIQUE_ACCES sur la période choisie</t>
  </si>
  <si>
    <t>1. Accéder à 'Rapports'
2. Saisir date début = 01/01/2026, date fin = 31/05/2026
3. Cliquer 'Générer'</t>
  </si>
  <si>
    <t>Rapport affiché avec liste des accès, total accordés/refusés, indicateurs. Affichage en moins de 5 secondes.</t>
  </si>
  <si>
    <t>TC-S10</t>
  </si>
  <si>
    <t>Filtrage rapport par personne</t>
  </si>
  <si>
    <t>Historique existant pour au moins une personne identifiée</t>
  </si>
  <si>
    <t>1. Accéder à 'Rapports'
2. Sélectionner une personne spécifique
3. Générer le rapport</t>
  </si>
  <si>
    <t>Le rapport n'affiche que les accès liés à la personne sélectionnée. Aucun accès d'une autre personne n'est inclus.</t>
  </si>
  <si>
    <t>TC-S11</t>
  </si>
  <si>
    <t>Génération avec date fin &lt; date début</t>
  </si>
  <si>
    <t>Module rapport ouvert</t>
  </si>
  <si>
    <t>1. Saisir date début = 31/05/2026
2. Saisir date fin = 01/01/2026
3. Cliquer 'Générer'</t>
  </si>
  <si>
    <t>Le système refuse et affiche un message d'erreur : 'La date de fin doit être postérieure à la date de début'. Aucun rapport généré.</t>
  </si>
  <si>
    <t>TC-S12</t>
  </si>
  <si>
    <t>Export rapport</t>
  </si>
  <si>
    <t>Export du rapport en CSV</t>
  </si>
  <si>
    <t>Un rapport généré et affiché à l'écran</t>
  </si>
  <si>
    <t>1. Cliquer 'Exporter CSV'
2. Choisir le chemin de sauvegarde
3. Valider</t>
  </si>
  <si>
    <t>Un fichier .csv est créé avec séparateur point-virgule, encodage UTF-8. Toutes les colonnes du rapport sont présentes. Le fichier s'ouvre correctement dans un tableur.</t>
  </si>
  <si>
    <t>Vérifier l'encodage des caractères accentués</t>
  </si>
  <si>
    <t>TC-S13</t>
  </si>
  <si>
    <t>Export du rapport en PDF</t>
  </si>
  <si>
    <t>1. Cliquer 'Exporter PDF'
2. Choisir le chemin
3. Valider</t>
  </si>
  <si>
    <t>Un fichier .pdf est créé avec en-tête, pagination et mise en forme. Le contenu correspond exactement au rapport affiché à l'écran.</t>
  </si>
  <si>
    <t>TC-S14</t>
  </si>
  <si>
    <t>Journal d'audit</t>
  </si>
  <si>
    <t>Consultation du journal d'audit</t>
  </si>
  <si>
    <t>Au moins une action de supervision réalisée (blocage ou déblocage)</t>
  </si>
  <si>
    <t>1. Accéder à 'Supervision &gt; Journal d'audit'
2. Parcourir les entrées</t>
  </si>
  <si>
    <t>Toutes les actions de supervision sont listées chronologiquement avec : date/heure, type d'action, opérateur, objet, motif. Aucun bouton Modifier ou Supprimer n'est visible.</t>
  </si>
  <si>
    <t>Vérifier que l'interface ne propose aucune action de modification</t>
  </si>
  <si>
    <t>TC-S15</t>
  </si>
  <si>
    <t>Tentative de modification du journal (test négatif)</t>
  </si>
  <si>
    <t>Accès direct à la base Oracle avec SQL Developer</t>
  </si>
  <si>
    <t>1. Tenter d'exécuter UPDATE JOURNAL_AUDIT SET motif='Test' WHERE id=1
2. Observer le résultat</t>
  </si>
  <si>
    <t>L'opération est rejetée par un trigger DDL Oracle avec une erreur explicite. Aucune modification n'est effectuée dans la table.</t>
  </si>
  <si>
    <t>Test à réaliser directement en base avec SQL Developer</t>
  </si>
  <si>
    <t>PLAN DE VALIDATION LOGICIEL — TESTS NON FONCTIONNELS</t>
  </si>
  <si>
    <t>TC-NF01</t>
  </si>
  <si>
    <t>Performance</t>
  </si>
  <si>
    <t>Chargement liste badges (1000 enregistrements)</t>
  </si>
  <si>
    <t>Base de données contenant 1000 badges minimum</t>
  </si>
  <si>
    <t>1. Accéder au module badges
2. Mesurer le temps d'affichage de la liste complète</t>
  </si>
  <si>
    <t>L'affichage de la liste complète se fait en moins de 2 secondes.</t>
  </si>
  <si>
    <t>Mesure avec chronomètre ou logs Java</t>
  </si>
  <si>
    <t>TC-NF02</t>
  </si>
  <si>
    <t>Génération rapport sur 1 mois de données</t>
  </si>
  <si>
    <t>Historique d'accès d'au moins 1 mois disponible</t>
  </si>
  <si>
    <t>1. Générer un rapport sur 30 jours
2. Mesurer le temps de réponse</t>
  </si>
  <si>
    <t>Le rapport est affiché en moins de 5 secondes.</t>
  </si>
  <si>
    <t>TC-NF03</t>
  </si>
  <si>
    <t>Sécurité</t>
  </si>
  <si>
    <t>Authentification avec mauvais mot de passe</t>
  </si>
  <si>
    <t>Application démarrée</t>
  </si>
  <si>
    <t>1. Saisir un login valide
2. Saisir un mot de passe incorrect
3. Valider</t>
  </si>
  <si>
    <t>Connexion refusée. Message d'erreur générique 'Identifiants incorrects'. Aucune information sur l'existence du compte n'est divulguée.</t>
  </si>
  <si>
    <t>Ne pas révéler si c'est le login ou le mdp qui est faux</t>
  </si>
  <si>
    <t>TC-NF04</t>
  </si>
  <si>
    <t>Déconnexion automatique après inactivité</t>
  </si>
  <si>
    <t>Opérateur authentifié et connecté</t>
  </si>
  <si>
    <t>1. Ne réaliser aucune action pendant 15 minutes
2. Tenter d'effectuer une action après le délai</t>
  </si>
  <si>
    <t>La session est automatiquement fermée. L'écran de connexion s'affiche. Un message informe l'opérateur de la déconnexion automatique.</t>
  </si>
  <si>
    <t>Paramètre de timeout configurable</t>
  </si>
  <si>
    <t>TC-NF05</t>
  </si>
  <si>
    <t>Fiabilité</t>
  </si>
  <si>
    <t>Rollback en cas d'erreur SQL</t>
  </si>
  <si>
    <t>Application connectée à Oracle</t>
  </si>
  <si>
    <t>1. Simuler une erreur SQL en cours de transaction (contrainte d'intégrité)
2. Observer le comportement de l'application</t>
  </si>
  <si>
    <t>La transaction est annulée (ROLLBACK). La base de données reste dans un état cohérent. Un message d'erreur compréhensible est affiché.</t>
  </si>
  <si>
    <t>Vérifier via SQL Developer</t>
  </si>
  <si>
    <t>TC-NF06</t>
  </si>
  <si>
    <t>Ergonomie</t>
  </si>
  <si>
    <t>Accessibilité des fonctions en 3 clics maximum</t>
  </si>
  <si>
    <t>Application démarrée, opérateur authentifié</t>
  </si>
  <si>
    <t>1. Depuis le menu principal, accéder à chaque fonctionnalité clé
2. Compter le nombre de clics nécessaires</t>
  </si>
  <si>
    <t>Toutes les fonctionnalités principales (blocage, rapport, journal d'audit) sont accessibles en 3 clics maximum depuis le menu principal.</t>
  </si>
  <si>
    <t>Parcours utilisateur à documenter</t>
  </si>
  <si>
    <t>TC-NF07</t>
  </si>
  <si>
    <t>Conformité outils</t>
  </si>
  <si>
    <t>Vérification de la version Java utilisée</t>
  </si>
  <si>
    <t>Application compilée et lancée</t>
  </si>
  <si>
    <t>1. Exécuter 'java -version' depuis le terminal
2. Vérifier la version dans les propriétés du projet Eclipse</t>
  </si>
  <si>
    <t>La version Java est exactement 1.8 (Java 8). Aucune classe ou API de version supérieure n'est utilisée.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</si>
</sst>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2"/>
      <color rgb="FF1A3A5C"/>
      <name val="Calibri"/>
    </font>
    <font>
      <sz val="10"/>
      <color rgb="FF555555"/>
      <name val="Calibri"/>
    </font>
    <font>
      <b/>
      <sz val="20"/>
      <color rgb="FFFFFFFF"/>
      <name val="Calibri"/>
    </font>
    <font>
      <i/>
      <sz val="13"/>
      <color rgb="FF2E5E8A"/>
      <name val="Calibri"/>
    </font>
    <font>
      <b/>
      <sz val="10"/>
      <color rgb="FF1A3A5C"/>
      <name val="Calibri"/>
    </font>
    <font>
      <sz val="10"/>
      <color rgb="FF2D2D2D"/>
      <name val="Calibri"/>
    </font>
    <font>
      <b/>
      <sz val="10"/>
      <color rgb="FFFFFFFF"/>
      <name val="Calibri"/>
    </font>
    <font>
      <b/>
      <sz val="10"/>
      <color rgb="FF333333"/>
      <name val="Calibri"/>
    </font>
    <font>
      <sz val="10"/>
      <color rgb="FF444444"/>
      <name val="Calibri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375623"/>
      <name val="Arial"/>
    </font>
    <font>
      <b/>
      <sz val="10"/>
      <color rgb="FFFFFFFF"/>
      <name val="Arial"/>
    </font>
    <font>
      <b/>
      <sz val="10"/>
      <color rgb="FF9C0006"/>
      <name val="Arial"/>
    </font>
    <font>
      <sz val="10"/>
      <color rgb="FF9C0006"/>
      <name val="Arial"/>
    </font>
    <font>
      <b/>
      <sz val="10"/>
      <color rgb="FF843C0C"/>
      <name val="Arial"/>
    </font>
    <font>
      <sz val="10"/>
      <color rgb="FF843C0C"/>
      <name val="Arial"/>
    </font>
    <font>
      <b/>
      <sz val="10"/>
      <color rgb="FF7F6000"/>
      <name val="Arial"/>
    </font>
    <font>
      <sz val="10"/>
      <color rgb="FF7F6000"/>
      <name val="Arial"/>
    </font>
    <font>
      <b/>
      <sz val="13"/>
      <color rgb="FFFFFFFF"/>
      <name val="Arial"/>
    </font>
    <font>
      <i/>
      <sz val="9"/>
      <color rgb="FF2E75B6"/>
      <name val="Arial"/>
    </font>
    <font>
      <b/>
      <sz val="10"/>
      <color rgb="FF595959"/>
      <name val="Arial"/>
    </font>
    <font>
      <sz val="10"/>
      <color rgb="FF375623"/>
      <name val="Arial"/>
    </font>
    <font>
      <i/>
      <sz val="10"/>
      <color rgb="FF2E75B6"/>
      <name val="Arial"/>
    </font>
    <font>
      <b/>
      <sz val="10"/>
      <color rgb="FF000000"/>
      <name val="Arial"/>
    </font>
    <font>
      <b/>
      <sz val="14"/>
      <color rgb="FFFFFFFF"/>
      <name val="Calibri"/>
    </font>
    <font>
      <i/>
      <sz val="9"/>
      <color rgb="FF666666"/>
      <name val="Calibri"/>
    </font>
    <font>
      <b/>
      <sz val="9"/>
      <color rgb="FF1A3A5C"/>
      <name val="Calibri"/>
    </font>
    <font>
      <sz val="9"/>
      <color rgb="FF2D2D2D"/>
      <name val="Calibri"/>
    </font>
    <font>
      <b/>
      <sz val="9"/>
      <color rgb="FF555555"/>
      <name val="Calibri"/>
    </font>
    <font>
      <i/>
      <sz val="9"/>
      <color rgb="FFFFFFFF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5F8"/>
      </patternFill>
    </fill>
    <fill>
      <patternFill patternType="solid">
        <fgColor rgb="FF2E5E8A"/>
      </patternFill>
    </fill>
    <fill>
      <patternFill patternType="solid">
        <fgColor rgb="FFF5F5F5"/>
      </patternFill>
    </fill>
    <fill>
      <patternFill patternType="solid">
        <fgColor rgb="FFE8F4E8"/>
      </patternFill>
    </fill>
    <fill>
      <patternFill patternType="solid">
        <fgColor rgb="FFFDECEA"/>
      </patternFill>
    </fill>
    <fill>
      <patternFill patternType="solid">
        <fgColor rgb="FFEEEEEE"/>
      </patternFill>
    </fill>
    <fill>
      <patternFill patternType="solid">
        <fgColor rgb="FFFFF3CD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D9D9D9"/>
      </patternFill>
    </fill>
    <fill>
      <patternFill patternType="solid">
        <fgColor rgb="FFD6E4F0"/>
      </patternFill>
    </fill>
  </fills>
  <borders count="1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/>
      <right/>
      <top style="thin">
        <color rgb="FF70AD47"/>
      </top>
      <bottom style="thin">
        <color rgb="FF70AD47"/>
      </bottom>
      <diagonal/>
    </border>
    <border>
      <left/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F0C040"/>
      </left>
      <right style="thin">
        <color rgb="FFF0C040"/>
      </right>
      <top style="thin">
        <color rgb="FFF0C040"/>
      </top>
      <bottom style="thin">
        <color rgb="FFF0C040"/>
      </bottom>
      <diagonal/>
    </border>
    <border>
      <left/>
      <right/>
      <top style="thin">
        <color rgb="FFF0C040"/>
      </top>
      <bottom style="thin">
        <color rgb="FFF0C040"/>
      </bottom>
      <diagonal/>
    </border>
    <border>
      <left/>
      <right style="thin">
        <color rgb="FFF0C040"/>
      </right>
      <top style="thin">
        <color rgb="FFF0C040"/>
      </top>
      <bottom style="thin">
        <color rgb="FFF0C040"/>
      </bottom>
      <diagonal/>
    </border>
    <border>
      <left/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left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5" fillId="15" borderId="3" xfId="0" applyFont="1" applyFill="1" applyBorder="1" applyAlignment="1">
      <alignment horizontal="center" vertical="center" wrapText="1"/>
    </xf>
    <xf numFmtId="0" fontId="17" fillId="16" borderId="3" xfId="0" applyFont="1" applyFill="1" applyBorder="1" applyAlignment="1">
      <alignment horizontal="center" vertical="center" wrapText="1"/>
    </xf>
    <xf numFmtId="0" fontId="19" fillId="17" borderId="3" xfId="0" applyFont="1" applyFill="1" applyBorder="1" applyAlignment="1">
      <alignment horizontal="center" vertical="center" wrapText="1"/>
    </xf>
    <xf numFmtId="0" fontId="15" fillId="15" borderId="3" xfId="0" applyFont="1" applyFill="1" applyBorder="1" applyAlignment="1">
      <alignment horizontal="left" vertical="center" wrapText="1"/>
    </xf>
    <xf numFmtId="0" fontId="23" fillId="19" borderId="3" xfId="0" applyFont="1" applyFill="1" applyBorder="1" applyAlignment="1">
      <alignment horizontal="left" vertical="center" wrapText="1"/>
    </xf>
    <xf numFmtId="0" fontId="17" fillId="16" borderId="3" xfId="0" applyFont="1" applyFill="1" applyBorder="1" applyAlignment="1">
      <alignment horizontal="left" vertical="center" wrapText="1"/>
    </xf>
    <xf numFmtId="0" fontId="24" fillId="14" borderId="3" xfId="0" applyFont="1" applyFill="1" applyBorder="1" applyAlignment="1">
      <alignment horizontal="left" vertical="center" wrapText="1"/>
    </xf>
    <xf numFmtId="0" fontId="19" fillId="17" borderId="3" xfId="0" applyFont="1" applyFill="1" applyBorder="1" applyAlignment="1">
      <alignment horizontal="left" vertical="center" wrapText="1"/>
    </xf>
    <xf numFmtId="0" fontId="26" fillId="12" borderId="3" xfId="0" applyFont="1" applyFill="1" applyBorder="1" applyAlignment="1">
      <alignment horizontal="left" vertical="center" wrapText="1"/>
    </xf>
    <xf numFmtId="0" fontId="26" fillId="13" borderId="3" xfId="0" applyFont="1" applyFill="1" applyBorder="1" applyAlignment="1">
      <alignment horizontal="left" vertical="center" wrapText="1"/>
    </xf>
    <xf numFmtId="0" fontId="26" fillId="15" borderId="3" xfId="0" applyFon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6" fillId="17" borderId="3" xfId="0" applyFont="1" applyFill="1" applyBorder="1" applyAlignment="1">
      <alignment horizontal="center" vertical="center" wrapText="1"/>
    </xf>
    <xf numFmtId="0" fontId="26" fillId="20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left" vertical="center" wrapText="1"/>
    </xf>
    <xf numFmtId="0" fontId="31" fillId="1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2" fillId="4" borderId="1" xfId="0" applyFont="1" applyFill="1" applyBorder="1"/>
    <xf numFmtId="0" fontId="9" fillId="0" borderId="1" xfId="0" applyFont="1" applyBorder="1" applyAlignment="1">
      <alignment horizontal="left" vertical="center"/>
    </xf>
    <xf numFmtId="0" fontId="0" fillId="0" borderId="2" xfId="0" applyBorder="1"/>
    <xf numFmtId="0" fontId="6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left" vertical="center" wrapText="1"/>
    </xf>
    <xf numFmtId="0" fontId="12" fillId="12" borderId="3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2" fillId="13" borderId="3" xfId="0" applyFont="1" applyFill="1" applyBorder="1" applyAlignment="1">
      <alignment horizontal="left" vertical="center" wrapText="1"/>
    </xf>
    <xf numFmtId="0" fontId="16" fillId="15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left" vertical="center" wrapText="1"/>
    </xf>
    <xf numFmtId="0" fontId="20" fillId="17" borderId="3" xfId="0" applyFont="1" applyFill="1" applyBorder="1" applyAlignment="1">
      <alignment horizontal="left" vertical="center" wrapText="1"/>
    </xf>
    <xf numFmtId="0" fontId="10" fillId="10" borderId="0" xfId="0" applyFont="1" applyFill="1" applyAlignment="1">
      <alignment horizontal="center" vertical="center" wrapText="1"/>
    </xf>
    <xf numFmtId="0" fontId="18" fillId="16" borderId="3" xfId="0" applyFont="1" applyFill="1" applyBorder="1" applyAlignment="1">
      <alignment horizontal="left" vertical="center" wrapText="1"/>
    </xf>
    <xf numFmtId="0" fontId="13" fillId="14" borderId="7" xfId="0" applyFont="1" applyFill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22" fillId="18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25" fillId="18" borderId="0" xfId="0" applyFont="1" applyFill="1" applyAlignment="1">
      <alignment horizontal="left" vertical="center" wrapText="1"/>
    </xf>
    <xf numFmtId="0" fontId="20" fillId="17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5" fillId="18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3" xfId="0" applyBorder="1"/>
    <xf numFmtId="0" fontId="2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topLeftCell="A6" workbookViewId="0"/>
  </sheetViews>
  <sheetFormatPr baseColWidth="10" defaultColWidth="8.7265625" defaultRowHeight="14.5" x14ac:dyDescent="0.35"/>
  <cols>
    <col min="1" max="1" width="4" customWidth="1"/>
    <col min="2" max="2" width="30" customWidth="1"/>
    <col min="3" max="3" width="50" customWidth="1"/>
    <col min="4" max="4" width="20" customWidth="1"/>
    <col min="5" max="5" width="4" customWidth="1"/>
  </cols>
  <sheetData>
    <row r="2" spans="2:4" ht="24" customHeight="1" x14ac:dyDescent="0.35">
      <c r="B2" s="41" t="s">
        <v>0</v>
      </c>
      <c r="C2" s="39"/>
      <c r="D2" s="39"/>
    </row>
    <row r="3" spans="2:4" ht="18" customHeight="1" x14ac:dyDescent="0.35">
      <c r="B3" s="38" t="s">
        <v>1</v>
      </c>
      <c r="C3" s="39"/>
      <c r="D3" s="39"/>
    </row>
    <row r="5" spans="2:4" ht="30" customHeight="1" x14ac:dyDescent="0.35">
      <c r="B5" s="40" t="s">
        <v>2</v>
      </c>
      <c r="C5" s="39"/>
      <c r="D5" s="39"/>
    </row>
    <row r="6" spans="2:4" ht="30" customHeight="1" x14ac:dyDescent="0.35">
      <c r="B6" s="39"/>
      <c r="C6" s="39"/>
      <c r="D6" s="39"/>
    </row>
    <row r="7" spans="2:4" ht="22" customHeight="1" x14ac:dyDescent="0.35">
      <c r="B7" s="42" t="s">
        <v>3</v>
      </c>
      <c r="C7" s="39"/>
      <c r="D7" s="39"/>
    </row>
    <row r="9" spans="2:4" ht="20" customHeight="1" x14ac:dyDescent="0.35">
      <c r="B9" s="1" t="s">
        <v>4</v>
      </c>
      <c r="C9" s="37" t="s">
        <v>5</v>
      </c>
      <c r="D9" s="36"/>
    </row>
    <row r="10" spans="2:4" ht="20" customHeight="1" x14ac:dyDescent="0.35">
      <c r="B10" s="1" t="s">
        <v>6</v>
      </c>
      <c r="C10" s="37" t="s">
        <v>7</v>
      </c>
      <c r="D10" s="36"/>
    </row>
    <row r="11" spans="2:4" ht="20" customHeight="1" x14ac:dyDescent="0.35">
      <c r="B11" s="1" t="s">
        <v>8</v>
      </c>
      <c r="C11" s="37" t="s">
        <v>9</v>
      </c>
      <c r="D11" s="36"/>
    </row>
    <row r="12" spans="2:4" ht="20" customHeight="1" x14ac:dyDescent="0.35">
      <c r="B12" s="1" t="s">
        <v>10</v>
      </c>
      <c r="C12" s="37" t="s">
        <v>11</v>
      </c>
      <c r="D12" s="36"/>
    </row>
    <row r="13" spans="2:4" ht="20" customHeight="1" x14ac:dyDescent="0.35">
      <c r="B13" s="1" t="s">
        <v>12</v>
      </c>
      <c r="C13" s="37" t="s">
        <v>13</v>
      </c>
      <c r="D13" s="36"/>
    </row>
    <row r="14" spans="2:4" ht="20" customHeight="1" x14ac:dyDescent="0.35">
      <c r="B14" s="1" t="s">
        <v>14</v>
      </c>
      <c r="C14" s="37" t="s">
        <v>15</v>
      </c>
      <c r="D14" s="36"/>
    </row>
    <row r="16" spans="2:4" ht="18" customHeight="1" x14ac:dyDescent="0.35">
      <c r="B16" s="43" t="s">
        <v>16</v>
      </c>
      <c r="C16" s="39"/>
      <c r="D16" s="39"/>
    </row>
    <row r="17" spans="2:4" ht="18" customHeight="1" x14ac:dyDescent="0.35">
      <c r="B17" s="2" t="s">
        <v>17</v>
      </c>
      <c r="C17" s="35" t="s">
        <v>18</v>
      </c>
      <c r="D17" s="36"/>
    </row>
    <row r="18" spans="2:4" ht="18" customHeight="1" x14ac:dyDescent="0.35">
      <c r="B18" s="3" t="s">
        <v>19</v>
      </c>
      <c r="C18" s="35" t="s">
        <v>20</v>
      </c>
      <c r="D18" s="36"/>
    </row>
    <row r="19" spans="2:4" ht="18" customHeight="1" x14ac:dyDescent="0.35">
      <c r="B19" s="4" t="s">
        <v>21</v>
      </c>
      <c r="C19" s="35" t="s">
        <v>22</v>
      </c>
      <c r="D19" s="36"/>
    </row>
    <row r="20" spans="2:4" ht="18" customHeight="1" x14ac:dyDescent="0.35">
      <c r="B20" s="5" t="s">
        <v>23</v>
      </c>
      <c r="C20" s="35" t="s">
        <v>24</v>
      </c>
      <c r="D20" s="36"/>
    </row>
    <row r="21" spans="2:4" ht="18" customHeight="1" x14ac:dyDescent="0.35">
      <c r="B21" s="6" t="s">
        <v>25</v>
      </c>
      <c r="C21" s="35" t="s">
        <v>26</v>
      </c>
      <c r="D21" s="36"/>
    </row>
  </sheetData>
  <mergeCells count="16">
    <mergeCell ref="B2:D2"/>
    <mergeCell ref="C14:D14"/>
    <mergeCell ref="C13:D13"/>
    <mergeCell ref="C9:D9"/>
    <mergeCell ref="B7:D7"/>
    <mergeCell ref="C20:D20"/>
    <mergeCell ref="C12:D12"/>
    <mergeCell ref="B3:D3"/>
    <mergeCell ref="C21:D21"/>
    <mergeCell ref="C10:D10"/>
    <mergeCell ref="B5:D6"/>
    <mergeCell ref="C11:D11"/>
    <mergeCell ref="C19:D19"/>
    <mergeCell ref="C17:D17"/>
    <mergeCell ref="C18:D18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7"/>
  <sheetViews>
    <sheetView topLeftCell="A15" workbookViewId="0"/>
  </sheetViews>
  <sheetFormatPr baseColWidth="10" defaultColWidth="8.7265625" defaultRowHeight="14.5" x14ac:dyDescent="0.35"/>
  <cols>
    <col min="1" max="1" width="4" customWidth="1"/>
    <col min="2" max="2" width="22" customWidth="1"/>
    <col min="3" max="3" width="32" customWidth="1"/>
    <col min="4" max="4" width="28" customWidth="1"/>
    <col min="5" max="5" width="18" customWidth="1"/>
    <col min="6" max="6" width="13.90625" customWidth="1"/>
  </cols>
  <sheetData>
    <row r="2" spans="2:6" ht="28" customHeight="1" x14ac:dyDescent="0.35">
      <c r="B2" s="52" t="s">
        <v>27</v>
      </c>
      <c r="C2" s="39"/>
      <c r="D2" s="39"/>
      <c r="E2" s="39"/>
    </row>
    <row r="4" spans="2:6" ht="20" customHeight="1" x14ac:dyDescent="0.35">
      <c r="B4" s="44" t="s">
        <v>28</v>
      </c>
      <c r="C4" s="39"/>
      <c r="D4" s="39"/>
      <c r="E4" s="39"/>
    </row>
    <row r="5" spans="2:6" ht="20" customHeight="1" x14ac:dyDescent="0.35">
      <c r="B5" s="45" t="s">
        <v>29</v>
      </c>
      <c r="C5" s="46"/>
      <c r="D5" s="46"/>
      <c r="E5" s="47"/>
    </row>
    <row r="6" spans="2:6" ht="20" customHeight="1" x14ac:dyDescent="0.35">
      <c r="B6" s="48" t="s">
        <v>30</v>
      </c>
      <c r="C6" s="46"/>
      <c r="D6" s="46"/>
      <c r="E6" s="47"/>
    </row>
    <row r="7" spans="2:6" ht="20" customHeight="1" x14ac:dyDescent="0.35">
      <c r="B7" s="45" t="s">
        <v>31</v>
      </c>
      <c r="C7" s="46"/>
      <c r="D7" s="46"/>
      <c r="E7" s="47"/>
    </row>
    <row r="8" spans="2:6" ht="20" customHeight="1" x14ac:dyDescent="0.35">
      <c r="B8" s="48" t="s">
        <v>32</v>
      </c>
      <c r="C8" s="46"/>
      <c r="D8" s="46"/>
      <c r="E8" s="47"/>
    </row>
    <row r="9" spans="2:6" ht="20" customHeight="1" x14ac:dyDescent="0.35">
      <c r="B9" s="45" t="s">
        <v>33</v>
      </c>
      <c r="C9" s="46"/>
      <c r="D9" s="46"/>
      <c r="E9" s="47"/>
    </row>
    <row r="10" spans="2:6" ht="20" customHeight="1" x14ac:dyDescent="0.35">
      <c r="B10" s="48" t="s">
        <v>34</v>
      </c>
      <c r="C10" s="46"/>
      <c r="D10" s="46"/>
      <c r="E10" s="47"/>
    </row>
    <row r="11" spans="2:6" ht="20" customHeight="1" x14ac:dyDescent="0.35">
      <c r="B11" s="50" t="s">
        <v>35</v>
      </c>
      <c r="C11" s="46"/>
      <c r="D11" s="46"/>
      <c r="E11" s="47"/>
    </row>
    <row r="13" spans="2:6" ht="20" customHeight="1" x14ac:dyDescent="0.35">
      <c r="B13" s="44" t="s">
        <v>36</v>
      </c>
      <c r="C13" s="39"/>
      <c r="D13" s="39"/>
      <c r="E13" s="39"/>
    </row>
    <row r="14" spans="2:6" ht="18" customHeight="1" x14ac:dyDescent="0.35">
      <c r="B14" s="10" t="s">
        <v>37</v>
      </c>
      <c r="C14" s="10" t="s">
        <v>38</v>
      </c>
      <c r="D14" s="10" t="s">
        <v>39</v>
      </c>
      <c r="E14" s="10" t="s">
        <v>40</v>
      </c>
      <c r="F14" s="10" t="s">
        <v>41</v>
      </c>
    </row>
    <row r="15" spans="2:6" ht="30" customHeight="1" x14ac:dyDescent="0.35">
      <c r="B15" s="7" t="s">
        <v>42</v>
      </c>
      <c r="C15" s="7" t="s">
        <v>43</v>
      </c>
      <c r="D15" s="7" t="s">
        <v>44</v>
      </c>
      <c r="E15" s="7" t="s">
        <v>45</v>
      </c>
      <c r="F15" s="7" t="s">
        <v>46</v>
      </c>
    </row>
    <row r="16" spans="2:6" ht="30" customHeight="1" x14ac:dyDescent="0.35">
      <c r="B16" s="8" t="s">
        <v>47</v>
      </c>
      <c r="C16" s="8" t="s">
        <v>43</v>
      </c>
      <c r="D16" s="8" t="s">
        <v>48</v>
      </c>
      <c r="E16" s="8" t="s">
        <v>49</v>
      </c>
      <c r="F16" s="8" t="s">
        <v>46</v>
      </c>
    </row>
    <row r="17" spans="2:6" ht="30" customHeight="1" x14ac:dyDescent="0.35">
      <c r="B17" s="7" t="s">
        <v>50</v>
      </c>
      <c r="C17" s="7" t="s">
        <v>51</v>
      </c>
      <c r="D17" s="7" t="s">
        <v>52</v>
      </c>
      <c r="E17" s="7" t="s">
        <v>53</v>
      </c>
      <c r="F17" s="7" t="s">
        <v>54</v>
      </c>
    </row>
    <row r="18" spans="2:6" ht="30" customHeight="1" x14ac:dyDescent="0.35">
      <c r="B18" s="8" t="s">
        <v>55</v>
      </c>
      <c r="C18" s="8" t="s">
        <v>51</v>
      </c>
      <c r="D18" s="8" t="s">
        <v>56</v>
      </c>
      <c r="E18" s="8" t="s">
        <v>57</v>
      </c>
      <c r="F18" s="8" t="s">
        <v>54</v>
      </c>
    </row>
    <row r="19" spans="2:6" ht="30" customHeight="1" x14ac:dyDescent="0.35">
      <c r="B19" s="7" t="s">
        <v>58</v>
      </c>
      <c r="C19" s="7" t="s">
        <v>59</v>
      </c>
      <c r="D19" s="7" t="s">
        <v>60</v>
      </c>
      <c r="E19" s="7" t="s">
        <v>61</v>
      </c>
      <c r="F19" s="7" t="s">
        <v>62</v>
      </c>
    </row>
    <row r="20" spans="2:6" ht="30" customHeight="1" x14ac:dyDescent="0.35">
      <c r="B20" s="8" t="s">
        <v>63</v>
      </c>
      <c r="C20" s="8" t="s">
        <v>59</v>
      </c>
      <c r="D20" s="8" t="s">
        <v>64</v>
      </c>
      <c r="E20" s="8" t="s">
        <v>65</v>
      </c>
      <c r="F20" s="8" t="s">
        <v>62</v>
      </c>
    </row>
    <row r="23" spans="2:6" ht="20" customHeight="1" x14ac:dyDescent="0.35">
      <c r="B23" s="44" t="s">
        <v>66</v>
      </c>
      <c r="C23" s="39"/>
      <c r="D23" s="39"/>
      <c r="E23" s="39"/>
    </row>
    <row r="24" spans="2:6" ht="22" customHeight="1" x14ac:dyDescent="0.35">
      <c r="B24" s="11" t="s">
        <v>67</v>
      </c>
      <c r="C24" s="49" t="s">
        <v>68</v>
      </c>
      <c r="D24" s="46"/>
      <c r="E24" s="47"/>
    </row>
    <row r="25" spans="2:6" ht="22" customHeight="1" x14ac:dyDescent="0.35">
      <c r="B25" s="12" t="s">
        <v>69</v>
      </c>
      <c r="C25" s="53" t="s">
        <v>70</v>
      </c>
      <c r="D25" s="46"/>
      <c r="E25" s="47"/>
    </row>
    <row r="26" spans="2:6" ht="22" customHeight="1" x14ac:dyDescent="0.35">
      <c r="B26" s="13" t="s">
        <v>71</v>
      </c>
      <c r="C26" s="51" t="s">
        <v>72</v>
      </c>
      <c r="D26" s="46"/>
      <c r="E26" s="47"/>
    </row>
    <row r="27" spans="2:6" ht="22" customHeight="1" x14ac:dyDescent="0.35">
      <c r="B27" s="11" t="s">
        <v>73</v>
      </c>
      <c r="C27" s="49" t="s">
        <v>74</v>
      </c>
      <c r="D27" s="46"/>
      <c r="E27" s="47"/>
    </row>
  </sheetData>
  <mergeCells count="15">
    <mergeCell ref="B2:E2"/>
    <mergeCell ref="B5:E5"/>
    <mergeCell ref="B10:E10"/>
    <mergeCell ref="C25:E25"/>
    <mergeCell ref="C24:E24"/>
    <mergeCell ref="B23:E23"/>
    <mergeCell ref="B9:E9"/>
    <mergeCell ref="B8:E8"/>
    <mergeCell ref="C27:E27"/>
    <mergeCell ref="B4:E4"/>
    <mergeCell ref="B13:E13"/>
    <mergeCell ref="B6:E6"/>
    <mergeCell ref="B7:E7"/>
    <mergeCell ref="B11:E11"/>
    <mergeCell ref="C26:E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34"/>
  <sheetViews>
    <sheetView topLeftCell="F1" workbookViewId="0">
      <selection activeCell="H7" sqref="H7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3" width="10" customWidth="1"/>
    <col min="4" max="4" width="12" customWidth="1"/>
    <col min="5" max="5" width="35" customWidth="1"/>
    <col min="6" max="6" width="30" customWidth="1"/>
    <col min="7" max="7" width="38" customWidth="1"/>
    <col min="8" max="8" width="14.36328125" customWidth="1"/>
    <col min="9" max="9" width="14" customWidth="1"/>
    <col min="10" max="10" width="20" customWidth="1"/>
    <col min="11" max="11" width="14" customWidth="1"/>
    <col min="12" max="12" width="12.81640625" customWidth="1"/>
  </cols>
  <sheetData>
    <row r="2" spans="2:12" ht="26" customHeight="1" x14ac:dyDescent="0.35">
      <c r="B2" s="58" t="s">
        <v>75</v>
      </c>
      <c r="C2" s="39"/>
      <c r="D2" s="39"/>
      <c r="E2" s="39"/>
      <c r="F2" s="39"/>
      <c r="G2" s="39"/>
      <c r="H2" s="39"/>
      <c r="I2" s="39"/>
      <c r="J2" s="39"/>
      <c r="K2" s="39"/>
    </row>
    <row r="3" spans="2:12" ht="16" customHeight="1" x14ac:dyDescent="0.35">
      <c r="B3" s="57" t="s">
        <v>76</v>
      </c>
      <c r="C3" s="39"/>
      <c r="D3" s="39"/>
      <c r="E3" s="39"/>
      <c r="F3" s="39"/>
      <c r="G3" s="39"/>
      <c r="H3" s="39"/>
      <c r="I3" s="39"/>
      <c r="J3" s="39"/>
      <c r="K3" s="39"/>
    </row>
    <row r="4" spans="2:12" ht="22" customHeight="1" x14ac:dyDescent="0.35">
      <c r="B4" s="54" t="s">
        <v>77</v>
      </c>
      <c r="C4" s="55"/>
      <c r="D4" s="55"/>
      <c r="E4" s="55"/>
      <c r="F4" s="55"/>
      <c r="G4" s="55"/>
      <c r="H4" s="55"/>
      <c r="I4" s="55"/>
      <c r="J4" s="55"/>
      <c r="K4" s="56"/>
    </row>
    <row r="5" spans="2:12" ht="36" customHeight="1" x14ac:dyDescent="0.35">
      <c r="B5" s="10" t="s">
        <v>78</v>
      </c>
      <c r="C5" s="10" t="s">
        <v>79</v>
      </c>
      <c r="D5" s="10" t="s">
        <v>80</v>
      </c>
      <c r="E5" s="10" t="s">
        <v>81</v>
      </c>
      <c r="F5" s="10" t="s">
        <v>82</v>
      </c>
      <c r="G5" s="10" t="s">
        <v>83</v>
      </c>
      <c r="H5" s="10" t="s">
        <v>84</v>
      </c>
      <c r="I5" s="10" t="s">
        <v>85</v>
      </c>
      <c r="J5" s="10" t="s">
        <v>86</v>
      </c>
      <c r="K5" s="10" t="s">
        <v>87</v>
      </c>
      <c r="L5" s="10" t="s">
        <v>88</v>
      </c>
    </row>
    <row r="6" spans="2:12" ht="55" customHeight="1" x14ac:dyDescent="0.35">
      <c r="B6" s="8" t="s">
        <v>89</v>
      </c>
      <c r="C6" s="8" t="s">
        <v>90</v>
      </c>
      <c r="D6" s="14" t="s">
        <v>67</v>
      </c>
      <c r="E6" s="8" t="s">
        <v>91</v>
      </c>
      <c r="F6" s="8" t="s">
        <v>92</v>
      </c>
      <c r="G6" s="8" t="s">
        <v>93</v>
      </c>
      <c r="H6" s="8" t="s">
        <v>94</v>
      </c>
      <c r="I6" s="8"/>
      <c r="J6" s="15" t="s">
        <v>95</v>
      </c>
      <c r="K6" s="8"/>
      <c r="L6" s="15" t="s">
        <v>95</v>
      </c>
    </row>
    <row r="7" spans="2:12" ht="97.5" customHeight="1" x14ac:dyDescent="0.35">
      <c r="B7" s="7" t="s">
        <v>96</v>
      </c>
      <c r="C7" s="7" t="s">
        <v>90</v>
      </c>
      <c r="D7" s="14" t="s">
        <v>67</v>
      </c>
      <c r="E7" s="7" t="s">
        <v>97</v>
      </c>
      <c r="F7" s="7" t="s">
        <v>98</v>
      </c>
      <c r="G7" s="7" t="s">
        <v>99</v>
      </c>
      <c r="H7" s="7" t="s">
        <v>100</v>
      </c>
      <c r="I7" s="7"/>
      <c r="J7" s="15" t="s">
        <v>95</v>
      </c>
      <c r="K7" s="7"/>
      <c r="L7" s="15" t="s">
        <v>95</v>
      </c>
    </row>
    <row r="8" spans="2:12" ht="55" customHeight="1" x14ac:dyDescent="0.35">
      <c r="B8" s="8" t="s">
        <v>101</v>
      </c>
      <c r="C8" s="8" t="s">
        <v>90</v>
      </c>
      <c r="D8" s="16" t="s">
        <v>69</v>
      </c>
      <c r="E8" s="8" t="s">
        <v>102</v>
      </c>
      <c r="F8" s="8" t="s">
        <v>103</v>
      </c>
      <c r="G8" s="8" t="s">
        <v>104</v>
      </c>
      <c r="H8" s="8" t="s">
        <v>105</v>
      </c>
      <c r="I8" s="8"/>
      <c r="J8" s="15" t="s">
        <v>95</v>
      </c>
      <c r="K8" s="8"/>
      <c r="L8" s="15" t="s">
        <v>95</v>
      </c>
    </row>
    <row r="9" spans="2:12" ht="55" customHeight="1" x14ac:dyDescent="0.35">
      <c r="B9" s="7" t="s">
        <v>106</v>
      </c>
      <c r="C9" s="7" t="s">
        <v>90</v>
      </c>
      <c r="D9" s="16" t="s">
        <v>69</v>
      </c>
      <c r="E9" s="7" t="s">
        <v>107</v>
      </c>
      <c r="F9" s="7" t="s">
        <v>108</v>
      </c>
      <c r="G9" s="7" t="s">
        <v>109</v>
      </c>
      <c r="H9" s="7" t="s">
        <v>110</v>
      </c>
      <c r="I9" s="7"/>
      <c r="J9" s="15" t="s">
        <v>95</v>
      </c>
      <c r="K9" s="7"/>
      <c r="L9" s="15" t="s">
        <v>95</v>
      </c>
    </row>
    <row r="10" spans="2:12" ht="55" customHeight="1" x14ac:dyDescent="0.35">
      <c r="B10" s="8" t="s">
        <v>111</v>
      </c>
      <c r="C10" s="8" t="s">
        <v>112</v>
      </c>
      <c r="D10" s="14" t="s">
        <v>67</v>
      </c>
      <c r="E10" s="8" t="s">
        <v>113</v>
      </c>
      <c r="F10" s="8" t="s">
        <v>114</v>
      </c>
      <c r="G10" s="8" t="s">
        <v>115</v>
      </c>
      <c r="H10" s="8" t="s">
        <v>116</v>
      </c>
      <c r="I10" s="8"/>
      <c r="J10" s="15" t="s">
        <v>95</v>
      </c>
      <c r="K10" s="8"/>
      <c r="L10" s="15" t="s">
        <v>95</v>
      </c>
    </row>
    <row r="11" spans="2:12" ht="55" customHeight="1" x14ac:dyDescent="0.35">
      <c r="B11" s="7" t="s">
        <v>117</v>
      </c>
      <c r="C11" s="7" t="s">
        <v>112</v>
      </c>
      <c r="D11" s="14" t="s">
        <v>67</v>
      </c>
      <c r="E11" s="7" t="s">
        <v>118</v>
      </c>
      <c r="F11" s="7" t="s">
        <v>119</v>
      </c>
      <c r="G11" s="7" t="s">
        <v>120</v>
      </c>
      <c r="H11" s="7" t="s">
        <v>121</v>
      </c>
      <c r="I11" s="7"/>
      <c r="J11" s="15" t="s">
        <v>95</v>
      </c>
      <c r="K11" s="7"/>
      <c r="L11" s="15" t="s">
        <v>95</v>
      </c>
    </row>
    <row r="12" spans="2:12" ht="55" customHeight="1" x14ac:dyDescent="0.35">
      <c r="B12" s="8" t="s">
        <v>122</v>
      </c>
      <c r="C12" s="8" t="s">
        <v>112</v>
      </c>
      <c r="D12" s="14" t="s">
        <v>67</v>
      </c>
      <c r="E12" s="8" t="s">
        <v>123</v>
      </c>
      <c r="F12" s="8" t="s">
        <v>124</v>
      </c>
      <c r="G12" s="8" t="s">
        <v>125</v>
      </c>
      <c r="H12" s="8" t="s">
        <v>126</v>
      </c>
      <c r="I12" s="8"/>
      <c r="J12" s="15" t="s">
        <v>95</v>
      </c>
      <c r="K12" s="8"/>
      <c r="L12" s="15" t="s">
        <v>95</v>
      </c>
    </row>
    <row r="13" spans="2:12" ht="55" customHeight="1" x14ac:dyDescent="0.35">
      <c r="B13" s="7" t="s">
        <v>127</v>
      </c>
      <c r="C13" s="7" t="s">
        <v>128</v>
      </c>
      <c r="D13" s="14" t="s">
        <v>67</v>
      </c>
      <c r="E13" s="7" t="s">
        <v>129</v>
      </c>
      <c r="F13" s="7" t="s">
        <v>130</v>
      </c>
      <c r="G13" s="7" t="s">
        <v>131</v>
      </c>
      <c r="H13" s="7" t="s">
        <v>132</v>
      </c>
      <c r="I13" s="7"/>
      <c r="J13" s="15" t="s">
        <v>95</v>
      </c>
      <c r="K13" s="7"/>
      <c r="L13" s="15" t="s">
        <v>95</v>
      </c>
    </row>
    <row r="14" spans="2:12" ht="55" customHeight="1" x14ac:dyDescent="0.35">
      <c r="B14" s="8" t="s">
        <v>133</v>
      </c>
      <c r="C14" s="8" t="s">
        <v>128</v>
      </c>
      <c r="D14" s="14" t="s">
        <v>67</v>
      </c>
      <c r="E14" s="8" t="s">
        <v>134</v>
      </c>
      <c r="F14" s="8" t="s">
        <v>135</v>
      </c>
      <c r="G14" s="8" t="s">
        <v>136</v>
      </c>
      <c r="H14" s="8" t="s">
        <v>137</v>
      </c>
      <c r="I14" s="8"/>
      <c r="J14" s="15" t="s">
        <v>95</v>
      </c>
      <c r="K14" s="8"/>
      <c r="L14" s="15" t="s">
        <v>95</v>
      </c>
    </row>
    <row r="15" spans="2:12" ht="55" customHeight="1" x14ac:dyDescent="0.35">
      <c r="B15" s="7" t="s">
        <v>138</v>
      </c>
      <c r="C15" s="7" t="s">
        <v>128</v>
      </c>
      <c r="D15" s="16" t="s">
        <v>69</v>
      </c>
      <c r="E15" s="7" t="s">
        <v>139</v>
      </c>
      <c r="F15" s="7" t="s">
        <v>140</v>
      </c>
      <c r="G15" s="7" t="s">
        <v>141</v>
      </c>
      <c r="H15" s="7" t="s">
        <v>142</v>
      </c>
      <c r="I15" s="7"/>
      <c r="J15" s="15" t="s">
        <v>95</v>
      </c>
      <c r="K15" s="7"/>
      <c r="L15" s="15" t="s">
        <v>95</v>
      </c>
    </row>
    <row r="16" spans="2:12" ht="55" customHeight="1" x14ac:dyDescent="0.35">
      <c r="B16" s="8" t="s">
        <v>143</v>
      </c>
      <c r="C16" s="8" t="s">
        <v>144</v>
      </c>
      <c r="D16" s="14" t="s">
        <v>67</v>
      </c>
      <c r="E16" s="8" t="s">
        <v>145</v>
      </c>
      <c r="F16" s="8" t="s">
        <v>146</v>
      </c>
      <c r="G16" s="8" t="s">
        <v>147</v>
      </c>
      <c r="H16" s="8" t="s">
        <v>148</v>
      </c>
      <c r="I16" s="8"/>
      <c r="J16" s="15" t="s">
        <v>95</v>
      </c>
      <c r="K16" s="8"/>
      <c r="L16" s="15" t="s">
        <v>95</v>
      </c>
    </row>
    <row r="17" spans="2:12" ht="55" customHeight="1" x14ac:dyDescent="0.35">
      <c r="B17" s="7" t="s">
        <v>149</v>
      </c>
      <c r="C17" s="7" t="s">
        <v>150</v>
      </c>
      <c r="D17" s="14" t="s">
        <v>67</v>
      </c>
      <c r="E17" s="7" t="s">
        <v>151</v>
      </c>
      <c r="F17" s="7" t="s">
        <v>152</v>
      </c>
      <c r="G17" s="7" t="s">
        <v>153</v>
      </c>
      <c r="H17" s="7" t="s">
        <v>154</v>
      </c>
      <c r="I17" s="7"/>
      <c r="J17" s="15" t="s">
        <v>95</v>
      </c>
      <c r="K17" s="7"/>
      <c r="L17" s="15" t="s">
        <v>95</v>
      </c>
    </row>
    <row r="18" spans="2:12" ht="55" customHeight="1" x14ac:dyDescent="0.35">
      <c r="B18" s="8" t="s">
        <v>155</v>
      </c>
      <c r="C18" s="8" t="s">
        <v>150</v>
      </c>
      <c r="D18" s="16" t="s">
        <v>69</v>
      </c>
      <c r="E18" s="8" t="s">
        <v>156</v>
      </c>
      <c r="F18" s="8" t="s">
        <v>157</v>
      </c>
      <c r="G18" s="8" t="s">
        <v>158</v>
      </c>
      <c r="H18" s="8" t="s">
        <v>159</v>
      </c>
      <c r="I18" s="8"/>
      <c r="J18" s="15" t="s">
        <v>95</v>
      </c>
      <c r="K18" s="8"/>
      <c r="L18" s="15" t="s">
        <v>95</v>
      </c>
    </row>
    <row r="19" spans="2:12" ht="55" customHeight="1" x14ac:dyDescent="0.35">
      <c r="B19" s="7" t="s">
        <v>160</v>
      </c>
      <c r="C19" s="7" t="s">
        <v>150</v>
      </c>
      <c r="D19" s="16" t="s">
        <v>69</v>
      </c>
      <c r="E19" s="7" t="s">
        <v>161</v>
      </c>
      <c r="F19" s="7" t="s">
        <v>162</v>
      </c>
      <c r="G19" s="7" t="s">
        <v>163</v>
      </c>
      <c r="H19" s="7" t="s">
        <v>164</v>
      </c>
      <c r="I19" s="7"/>
      <c r="J19" s="15" t="s">
        <v>95</v>
      </c>
      <c r="K19" s="7"/>
      <c r="L19" s="15" t="s">
        <v>95</v>
      </c>
    </row>
    <row r="20" spans="2:12" ht="55" customHeight="1" x14ac:dyDescent="0.35">
      <c r="B20" s="8" t="s">
        <v>165</v>
      </c>
      <c r="C20" s="8" t="s">
        <v>150</v>
      </c>
      <c r="D20" s="16" t="s">
        <v>69</v>
      </c>
      <c r="E20" s="8" t="s">
        <v>166</v>
      </c>
      <c r="F20" s="8" t="s">
        <v>167</v>
      </c>
      <c r="G20" s="8" t="s">
        <v>168</v>
      </c>
      <c r="H20" s="8" t="s">
        <v>169</v>
      </c>
      <c r="I20" s="8"/>
      <c r="J20" s="15" t="s">
        <v>95</v>
      </c>
      <c r="K20" s="8"/>
      <c r="L20" s="15" t="s">
        <v>95</v>
      </c>
    </row>
    <row r="21" spans="2:12" ht="55" customHeight="1" x14ac:dyDescent="0.35">
      <c r="B21" s="7" t="s">
        <v>170</v>
      </c>
      <c r="C21" s="7" t="s">
        <v>171</v>
      </c>
      <c r="D21" s="16" t="s">
        <v>69</v>
      </c>
      <c r="E21" s="7" t="s">
        <v>172</v>
      </c>
      <c r="F21" s="7" t="s">
        <v>173</v>
      </c>
      <c r="G21" s="7" t="s">
        <v>174</v>
      </c>
      <c r="H21" s="7" t="s">
        <v>175</v>
      </c>
      <c r="I21" s="7"/>
      <c r="J21" s="15" t="s">
        <v>95</v>
      </c>
      <c r="K21" s="7"/>
      <c r="L21" s="15" t="s">
        <v>95</v>
      </c>
    </row>
    <row r="22" spans="2:12" ht="55" customHeight="1" x14ac:dyDescent="0.35">
      <c r="B22" s="8" t="s">
        <v>176</v>
      </c>
      <c r="C22" s="8" t="s">
        <v>171</v>
      </c>
      <c r="D22" s="16" t="s">
        <v>69</v>
      </c>
      <c r="E22" s="8" t="s">
        <v>177</v>
      </c>
      <c r="F22" s="8" t="s">
        <v>178</v>
      </c>
      <c r="G22" s="8" t="s">
        <v>179</v>
      </c>
      <c r="H22" s="8" t="s">
        <v>180</v>
      </c>
      <c r="I22" s="8"/>
      <c r="J22" s="15" t="s">
        <v>95</v>
      </c>
      <c r="K22" s="8"/>
      <c r="L22" s="15" t="s">
        <v>95</v>
      </c>
    </row>
    <row r="23" spans="2:12" ht="55" customHeight="1" x14ac:dyDescent="0.35">
      <c r="B23" s="7" t="s">
        <v>181</v>
      </c>
      <c r="C23" s="7" t="s">
        <v>182</v>
      </c>
      <c r="D23" s="14" t="s">
        <v>67</v>
      </c>
      <c r="E23" s="7" t="s">
        <v>183</v>
      </c>
      <c r="F23" s="7" t="s">
        <v>184</v>
      </c>
      <c r="G23" s="7" t="s">
        <v>185</v>
      </c>
      <c r="H23" s="7" t="s">
        <v>186</v>
      </c>
      <c r="I23" s="7"/>
      <c r="J23" s="15" t="s">
        <v>95</v>
      </c>
      <c r="K23" s="7"/>
      <c r="L23" s="15" t="s">
        <v>95</v>
      </c>
    </row>
    <row r="24" spans="2:12" ht="55" customHeight="1" x14ac:dyDescent="0.35">
      <c r="B24" s="8" t="s">
        <v>187</v>
      </c>
      <c r="C24" s="8" t="s">
        <v>182</v>
      </c>
      <c r="D24" s="14" t="s">
        <v>67</v>
      </c>
      <c r="E24" s="8" t="s">
        <v>188</v>
      </c>
      <c r="F24" s="8" t="s">
        <v>189</v>
      </c>
      <c r="G24" s="8" t="s">
        <v>190</v>
      </c>
      <c r="H24" s="8" t="s">
        <v>191</v>
      </c>
      <c r="I24" s="8"/>
      <c r="J24" s="15" t="s">
        <v>95</v>
      </c>
      <c r="K24" s="8"/>
      <c r="L24" s="15" t="s">
        <v>95</v>
      </c>
    </row>
    <row r="25" spans="2:12" ht="55" customHeight="1" x14ac:dyDescent="0.35">
      <c r="B25" s="7" t="s">
        <v>192</v>
      </c>
      <c r="C25" s="7" t="s">
        <v>182</v>
      </c>
      <c r="D25" s="14" t="s">
        <v>67</v>
      </c>
      <c r="E25" s="7" t="s">
        <v>193</v>
      </c>
      <c r="F25" s="7" t="s">
        <v>189</v>
      </c>
      <c r="G25" s="7" t="s">
        <v>194</v>
      </c>
      <c r="H25" s="7" t="s">
        <v>195</v>
      </c>
      <c r="I25" s="7"/>
      <c r="J25" s="15" t="s">
        <v>95</v>
      </c>
      <c r="K25" s="7"/>
      <c r="L25" s="15" t="s">
        <v>95</v>
      </c>
    </row>
    <row r="26" spans="2:12" ht="55" customHeight="1" x14ac:dyDescent="0.35">
      <c r="B26" s="8" t="s">
        <v>196</v>
      </c>
      <c r="C26" s="8" t="s">
        <v>197</v>
      </c>
      <c r="D26" s="14" t="s">
        <v>67</v>
      </c>
      <c r="E26" s="8" t="s">
        <v>198</v>
      </c>
      <c r="F26" s="8" t="s">
        <v>199</v>
      </c>
      <c r="G26" s="8" t="s">
        <v>200</v>
      </c>
      <c r="H26" s="8" t="s">
        <v>201</v>
      </c>
      <c r="I26" s="8"/>
      <c r="J26" s="15" t="s">
        <v>95</v>
      </c>
      <c r="K26" s="8"/>
      <c r="L26" s="15" t="s">
        <v>95</v>
      </c>
    </row>
    <row r="27" spans="2:12" ht="55" customHeight="1" x14ac:dyDescent="0.35">
      <c r="B27" s="7" t="s">
        <v>202</v>
      </c>
      <c r="C27" s="7" t="s">
        <v>197</v>
      </c>
      <c r="D27" s="14" t="s">
        <v>67</v>
      </c>
      <c r="E27" s="7" t="s">
        <v>203</v>
      </c>
      <c r="F27" s="7" t="s">
        <v>204</v>
      </c>
      <c r="G27" s="7" t="s">
        <v>205</v>
      </c>
      <c r="H27" s="7" t="s">
        <v>206</v>
      </c>
      <c r="I27" s="7"/>
      <c r="J27" s="15" t="s">
        <v>95</v>
      </c>
      <c r="K27" s="7"/>
      <c r="L27" s="15" t="s">
        <v>95</v>
      </c>
    </row>
    <row r="28" spans="2:12" ht="55" customHeight="1" x14ac:dyDescent="0.35">
      <c r="B28" s="8" t="s">
        <v>207</v>
      </c>
      <c r="C28" s="8" t="s">
        <v>197</v>
      </c>
      <c r="D28" s="16" t="s">
        <v>69</v>
      </c>
      <c r="E28" s="8" t="s">
        <v>208</v>
      </c>
      <c r="F28" s="8" t="s">
        <v>209</v>
      </c>
      <c r="G28" s="8" t="s">
        <v>210</v>
      </c>
      <c r="H28" s="8" t="s">
        <v>211</v>
      </c>
      <c r="I28" s="8"/>
      <c r="J28" s="15" t="s">
        <v>95</v>
      </c>
      <c r="K28" s="8"/>
      <c r="L28" s="15" t="s">
        <v>95</v>
      </c>
    </row>
    <row r="29" spans="2:12" ht="55" customHeight="1" x14ac:dyDescent="0.35">
      <c r="B29" s="9" t="s">
        <v>212</v>
      </c>
      <c r="C29" s="17" t="s">
        <v>213</v>
      </c>
      <c r="D29" s="14" t="s">
        <v>67</v>
      </c>
      <c r="E29" s="17" t="s">
        <v>214</v>
      </c>
      <c r="F29" s="17" t="s">
        <v>215</v>
      </c>
      <c r="G29" s="17" t="s">
        <v>216</v>
      </c>
      <c r="H29" s="17" t="s">
        <v>217</v>
      </c>
      <c r="I29" s="17"/>
      <c r="J29" s="15" t="s">
        <v>95</v>
      </c>
      <c r="K29" s="17"/>
      <c r="L29" s="15" t="s">
        <v>95</v>
      </c>
    </row>
    <row r="30" spans="2:12" ht="55" customHeight="1" x14ac:dyDescent="0.35">
      <c r="B30" s="9" t="s">
        <v>218</v>
      </c>
      <c r="C30" s="17" t="s">
        <v>213</v>
      </c>
      <c r="D30" s="14" t="s">
        <v>67</v>
      </c>
      <c r="E30" s="17" t="s">
        <v>219</v>
      </c>
      <c r="F30" s="17" t="s">
        <v>220</v>
      </c>
      <c r="G30" s="17" t="s">
        <v>221</v>
      </c>
      <c r="H30" s="17" t="s">
        <v>222</v>
      </c>
      <c r="I30" s="17"/>
      <c r="J30" s="15" t="s">
        <v>95</v>
      </c>
      <c r="K30" s="17"/>
      <c r="L30" s="15" t="s">
        <v>95</v>
      </c>
    </row>
    <row r="31" spans="2:12" ht="55" customHeight="1" x14ac:dyDescent="0.35">
      <c r="B31" s="9" t="s">
        <v>223</v>
      </c>
      <c r="C31" s="17" t="s">
        <v>213</v>
      </c>
      <c r="D31" s="14" t="s">
        <v>67</v>
      </c>
      <c r="E31" s="17" t="s">
        <v>224</v>
      </c>
      <c r="F31" s="17" t="s">
        <v>220</v>
      </c>
      <c r="G31" s="17" t="s">
        <v>225</v>
      </c>
      <c r="H31" s="17" t="s">
        <v>226</v>
      </c>
      <c r="I31" s="17"/>
      <c r="J31" s="15" t="s">
        <v>95</v>
      </c>
      <c r="K31" s="17"/>
      <c r="L31" s="15" t="s">
        <v>95</v>
      </c>
    </row>
    <row r="32" spans="2:12" ht="55" customHeight="1" x14ac:dyDescent="0.35">
      <c r="B32" s="9" t="s">
        <v>227</v>
      </c>
      <c r="C32" s="17" t="s">
        <v>213</v>
      </c>
      <c r="D32" s="16" t="s">
        <v>69</v>
      </c>
      <c r="E32" s="17" t="s">
        <v>228</v>
      </c>
      <c r="F32" s="17" t="s">
        <v>229</v>
      </c>
      <c r="G32" s="17" t="s">
        <v>230</v>
      </c>
      <c r="H32" s="17" t="s">
        <v>231</v>
      </c>
      <c r="I32" s="17"/>
      <c r="J32" s="15" t="s">
        <v>95</v>
      </c>
      <c r="K32" s="17"/>
      <c r="L32" s="15" t="s">
        <v>95</v>
      </c>
    </row>
    <row r="33" spans="2:12" ht="55" customHeight="1" x14ac:dyDescent="0.35">
      <c r="B33" s="9" t="s">
        <v>232</v>
      </c>
      <c r="C33" s="17" t="s">
        <v>213</v>
      </c>
      <c r="D33" s="16" t="s">
        <v>69</v>
      </c>
      <c r="E33" s="17" t="s">
        <v>233</v>
      </c>
      <c r="F33" s="17" t="s">
        <v>234</v>
      </c>
      <c r="G33" s="17" t="s">
        <v>235</v>
      </c>
      <c r="H33" s="17" t="s">
        <v>236</v>
      </c>
      <c r="I33" s="17"/>
      <c r="J33" s="15" t="s">
        <v>95</v>
      </c>
      <c r="K33" s="17"/>
      <c r="L33" s="15" t="s">
        <v>95</v>
      </c>
    </row>
    <row r="34" spans="2:12" ht="55" customHeight="1" x14ac:dyDescent="0.35">
      <c r="B34" s="9" t="s">
        <v>237</v>
      </c>
      <c r="C34" s="17" t="s">
        <v>213</v>
      </c>
      <c r="D34" s="16" t="s">
        <v>69</v>
      </c>
      <c r="E34" s="17" t="s">
        <v>238</v>
      </c>
      <c r="F34" s="17" t="s">
        <v>239</v>
      </c>
      <c r="G34" s="17" t="s">
        <v>240</v>
      </c>
      <c r="H34" s="17" t="s">
        <v>241</v>
      </c>
      <c r="I34" s="17"/>
      <c r="J34" s="15" t="s">
        <v>95</v>
      </c>
      <c r="K34" s="17"/>
      <c r="L34" s="15" t="s">
        <v>95</v>
      </c>
    </row>
  </sheetData>
  <mergeCells count="3">
    <mergeCell ref="B4:K4"/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4"/>
  <sheetViews>
    <sheetView topLeftCell="F10" workbookViewId="0"/>
  </sheetViews>
  <sheetFormatPr baseColWidth="10" defaultColWidth="8.7265625" defaultRowHeight="14.5" x14ac:dyDescent="0.35"/>
  <cols>
    <col min="1" max="1" width="3" customWidth="1"/>
    <col min="2" max="2" width="14" customWidth="1"/>
    <col min="3" max="3" width="10" customWidth="1"/>
    <col min="4" max="4" width="12" customWidth="1"/>
    <col min="5" max="5" width="35" customWidth="1"/>
    <col min="6" max="6" width="30" customWidth="1"/>
    <col min="7" max="7" width="38" customWidth="1"/>
    <col min="8" max="8" width="15.08984375" customWidth="1"/>
    <col min="9" max="9" width="14" customWidth="1"/>
    <col min="10" max="10" width="20" customWidth="1"/>
    <col min="11" max="11" width="14" customWidth="1"/>
    <col min="12" max="12" width="12.26953125" customWidth="1"/>
  </cols>
  <sheetData>
    <row r="2" spans="2:12" ht="26" customHeight="1" x14ac:dyDescent="0.35">
      <c r="B2" s="58" t="s">
        <v>242</v>
      </c>
      <c r="C2" s="39"/>
      <c r="D2" s="39"/>
      <c r="E2" s="39"/>
      <c r="F2" s="39"/>
      <c r="G2" s="39"/>
      <c r="H2" s="39"/>
      <c r="I2" s="39"/>
      <c r="J2" s="39"/>
      <c r="K2" s="39"/>
    </row>
    <row r="3" spans="2:12" ht="16" customHeight="1" x14ac:dyDescent="0.35">
      <c r="B3" s="57" t="s">
        <v>76</v>
      </c>
      <c r="C3" s="39"/>
      <c r="D3" s="39"/>
      <c r="E3" s="39"/>
      <c r="F3" s="39"/>
      <c r="G3" s="39"/>
      <c r="H3" s="39"/>
      <c r="I3" s="39"/>
      <c r="J3" s="39"/>
      <c r="K3" s="39"/>
    </row>
    <row r="4" spans="2:12" ht="36" customHeight="1" x14ac:dyDescent="0.35">
      <c r="B4" s="10" t="s">
        <v>78</v>
      </c>
      <c r="C4" s="10" t="s">
        <v>79</v>
      </c>
      <c r="D4" s="10" t="s">
        <v>80</v>
      </c>
      <c r="E4" s="10" t="s">
        <v>81</v>
      </c>
      <c r="F4" s="10" t="s">
        <v>82</v>
      </c>
      <c r="G4" s="10" t="s">
        <v>83</v>
      </c>
      <c r="H4" s="10" t="s">
        <v>84</v>
      </c>
      <c r="I4" s="10" t="s">
        <v>85</v>
      </c>
      <c r="J4" s="10" t="s">
        <v>86</v>
      </c>
      <c r="K4" s="10" t="s">
        <v>87</v>
      </c>
      <c r="L4" s="10" t="s">
        <v>88</v>
      </c>
    </row>
    <row r="5" spans="2:12" ht="55" customHeight="1" x14ac:dyDescent="0.35">
      <c r="B5" s="7" t="s">
        <v>243</v>
      </c>
      <c r="C5" s="7" t="s">
        <v>244</v>
      </c>
      <c r="D5" s="14" t="s">
        <v>67</v>
      </c>
      <c r="E5" s="7" t="s">
        <v>245</v>
      </c>
      <c r="F5" s="7" t="s">
        <v>246</v>
      </c>
      <c r="G5" s="7" t="s">
        <v>247</v>
      </c>
      <c r="H5" s="7" t="s">
        <v>248</v>
      </c>
      <c r="I5" s="7"/>
      <c r="J5" s="15" t="s">
        <v>95</v>
      </c>
      <c r="K5" s="7"/>
      <c r="L5" s="15" t="s">
        <v>95</v>
      </c>
    </row>
    <row r="6" spans="2:12" ht="55" customHeight="1" x14ac:dyDescent="0.35">
      <c r="B6" s="8" t="s">
        <v>249</v>
      </c>
      <c r="C6" s="8" t="s">
        <v>244</v>
      </c>
      <c r="D6" s="14" t="s">
        <v>67</v>
      </c>
      <c r="E6" s="8" t="s">
        <v>250</v>
      </c>
      <c r="F6" s="8" t="s">
        <v>251</v>
      </c>
      <c r="G6" s="8" t="s">
        <v>252</v>
      </c>
      <c r="H6" s="8" t="s">
        <v>253</v>
      </c>
      <c r="I6" s="8"/>
      <c r="J6" s="15" t="s">
        <v>95</v>
      </c>
      <c r="K6" s="8"/>
      <c r="L6" s="15" t="s">
        <v>95</v>
      </c>
    </row>
    <row r="7" spans="2:12" ht="55" customHeight="1" x14ac:dyDescent="0.35">
      <c r="B7" s="7" t="s">
        <v>254</v>
      </c>
      <c r="C7" s="7" t="s">
        <v>255</v>
      </c>
      <c r="D7" s="16" t="s">
        <v>69</v>
      </c>
      <c r="E7" s="7" t="s">
        <v>256</v>
      </c>
      <c r="F7" s="7" t="s">
        <v>257</v>
      </c>
      <c r="G7" s="7" t="s">
        <v>258</v>
      </c>
      <c r="H7" s="7" t="s">
        <v>259</v>
      </c>
      <c r="I7" s="7"/>
      <c r="J7" s="15" t="s">
        <v>95</v>
      </c>
      <c r="K7" s="7"/>
      <c r="L7" s="15" t="s">
        <v>95</v>
      </c>
    </row>
    <row r="8" spans="2:12" ht="55" customHeight="1" x14ac:dyDescent="0.35">
      <c r="B8" s="8" t="s">
        <v>260</v>
      </c>
      <c r="C8" s="8" t="s">
        <v>261</v>
      </c>
      <c r="D8" s="14" t="s">
        <v>67</v>
      </c>
      <c r="E8" s="8" t="s">
        <v>262</v>
      </c>
      <c r="F8" s="8" t="s">
        <v>263</v>
      </c>
      <c r="G8" s="8" t="s">
        <v>264</v>
      </c>
      <c r="H8" s="8" t="s">
        <v>265</v>
      </c>
      <c r="I8" s="8"/>
      <c r="J8" s="15" t="s">
        <v>95</v>
      </c>
      <c r="K8" s="8"/>
      <c r="L8" s="15" t="s">
        <v>95</v>
      </c>
    </row>
    <row r="9" spans="2:12" ht="55" customHeight="1" x14ac:dyDescent="0.35">
      <c r="B9" s="7" t="s">
        <v>266</v>
      </c>
      <c r="C9" s="7" t="s">
        <v>267</v>
      </c>
      <c r="D9" s="18" t="s">
        <v>71</v>
      </c>
      <c r="E9" s="7" t="s">
        <v>268</v>
      </c>
      <c r="F9" s="7" t="s">
        <v>269</v>
      </c>
      <c r="G9" s="7" t="s">
        <v>270</v>
      </c>
      <c r="H9" s="7" t="s">
        <v>271</v>
      </c>
      <c r="I9" s="7"/>
      <c r="J9" s="15" t="s">
        <v>95</v>
      </c>
      <c r="K9" s="7"/>
      <c r="L9" s="15" t="s">
        <v>95</v>
      </c>
    </row>
    <row r="10" spans="2:12" ht="55" customHeight="1" x14ac:dyDescent="0.35">
      <c r="B10" s="8" t="s">
        <v>272</v>
      </c>
      <c r="C10" s="8" t="s">
        <v>273</v>
      </c>
      <c r="D10" s="14" t="s">
        <v>67</v>
      </c>
      <c r="E10" s="8" t="s">
        <v>274</v>
      </c>
      <c r="F10" s="8" t="s">
        <v>275</v>
      </c>
      <c r="G10" s="8" t="s">
        <v>276</v>
      </c>
      <c r="H10" s="8" t="s">
        <v>277</v>
      </c>
      <c r="I10" s="8"/>
      <c r="J10" s="15" t="s">
        <v>95</v>
      </c>
      <c r="K10" s="8"/>
      <c r="L10" s="15" t="s">
        <v>95</v>
      </c>
    </row>
    <row r="11" spans="2:12" ht="55" customHeight="1" x14ac:dyDescent="0.35">
      <c r="B11" s="7" t="s">
        <v>278</v>
      </c>
      <c r="C11" s="7" t="s">
        <v>273</v>
      </c>
      <c r="D11" s="14" t="s">
        <v>67</v>
      </c>
      <c r="E11" s="7" t="s">
        <v>279</v>
      </c>
      <c r="F11" s="7" t="s">
        <v>280</v>
      </c>
      <c r="G11" s="7" t="s">
        <v>281</v>
      </c>
      <c r="H11" s="7" t="s">
        <v>282</v>
      </c>
      <c r="I11" s="7"/>
      <c r="J11" s="15" t="s">
        <v>95</v>
      </c>
      <c r="K11" s="7"/>
      <c r="L11" s="15" t="s">
        <v>95</v>
      </c>
    </row>
    <row r="12" spans="2:12" ht="55" customHeight="1" x14ac:dyDescent="0.35">
      <c r="B12" s="8" t="s">
        <v>283</v>
      </c>
      <c r="C12" s="8" t="s">
        <v>284</v>
      </c>
      <c r="D12" s="18" t="s">
        <v>71</v>
      </c>
      <c r="E12" s="8" t="s">
        <v>285</v>
      </c>
      <c r="F12" s="8" t="s">
        <v>286</v>
      </c>
      <c r="G12" s="8" t="s">
        <v>287</v>
      </c>
      <c r="H12" s="8" t="s">
        <v>288</v>
      </c>
      <c r="I12" s="8"/>
      <c r="J12" s="15" t="s">
        <v>95</v>
      </c>
      <c r="K12" s="8"/>
      <c r="L12" s="15" t="s">
        <v>95</v>
      </c>
    </row>
    <row r="13" spans="2:12" ht="55" customHeight="1" x14ac:dyDescent="0.35">
      <c r="B13" s="7" t="s">
        <v>289</v>
      </c>
      <c r="C13" s="7" t="s">
        <v>290</v>
      </c>
      <c r="D13" s="16" t="s">
        <v>69</v>
      </c>
      <c r="E13" s="7" t="s">
        <v>291</v>
      </c>
      <c r="F13" s="7" t="s">
        <v>292</v>
      </c>
      <c r="G13" s="7" t="s">
        <v>293</v>
      </c>
      <c r="H13" s="7" t="s">
        <v>294</v>
      </c>
      <c r="I13" s="7"/>
      <c r="J13" s="15" t="s">
        <v>95</v>
      </c>
      <c r="K13" s="7"/>
      <c r="L13" s="15" t="s">
        <v>95</v>
      </c>
    </row>
    <row r="14" spans="2:12" ht="55" customHeight="1" x14ac:dyDescent="0.35">
      <c r="B14" s="8" t="s">
        <v>295</v>
      </c>
      <c r="C14" s="8" t="s">
        <v>290</v>
      </c>
      <c r="D14" s="14" t="s">
        <v>67</v>
      </c>
      <c r="E14" s="8" t="s">
        <v>296</v>
      </c>
      <c r="F14" s="8" t="s">
        <v>297</v>
      </c>
      <c r="G14" s="8" t="s">
        <v>298</v>
      </c>
      <c r="H14" s="8" t="s">
        <v>299</v>
      </c>
      <c r="I14" s="8"/>
      <c r="J14" s="15" t="s">
        <v>95</v>
      </c>
      <c r="K14" s="8"/>
      <c r="L14" s="15" t="s">
        <v>95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0"/>
  <sheetViews>
    <sheetView topLeftCell="F1" workbookViewId="0"/>
  </sheetViews>
  <sheetFormatPr baseColWidth="10" defaultColWidth="8.7265625" defaultRowHeight="14.5" x14ac:dyDescent="0.35"/>
  <cols>
    <col min="1" max="1" width="3" customWidth="1"/>
    <col min="2" max="2" width="14" customWidth="1"/>
    <col min="3" max="3" width="10" customWidth="1"/>
    <col min="4" max="4" width="12" customWidth="1"/>
    <col min="5" max="5" width="35" customWidth="1"/>
    <col min="6" max="6" width="30" customWidth="1"/>
    <col min="7" max="7" width="38" customWidth="1"/>
    <col min="8" max="8" width="16.90625" customWidth="1"/>
    <col min="9" max="9" width="14" customWidth="1"/>
    <col min="10" max="10" width="20" customWidth="1"/>
    <col min="11" max="11" width="14" customWidth="1"/>
    <col min="12" max="12" width="14.6328125" customWidth="1"/>
  </cols>
  <sheetData>
    <row r="2" spans="2:12" ht="26" customHeight="1" x14ac:dyDescent="0.35">
      <c r="B2" s="58" t="s">
        <v>300</v>
      </c>
      <c r="C2" s="39"/>
      <c r="D2" s="39"/>
      <c r="E2" s="39"/>
      <c r="F2" s="39"/>
      <c r="G2" s="39"/>
      <c r="H2" s="39"/>
      <c r="I2" s="39"/>
      <c r="J2" s="39"/>
      <c r="K2" s="39"/>
    </row>
    <row r="3" spans="2:12" ht="16" customHeight="1" x14ac:dyDescent="0.35">
      <c r="B3" s="57" t="s">
        <v>76</v>
      </c>
      <c r="C3" s="39"/>
      <c r="D3" s="39"/>
      <c r="E3" s="39"/>
      <c r="F3" s="39"/>
      <c r="G3" s="39"/>
      <c r="H3" s="39"/>
      <c r="I3" s="39"/>
      <c r="J3" s="39"/>
      <c r="K3" s="39"/>
    </row>
    <row r="4" spans="2:12" ht="22" customHeight="1" x14ac:dyDescent="0.35">
      <c r="B4" s="54" t="s">
        <v>301</v>
      </c>
      <c r="C4" s="55"/>
      <c r="D4" s="55"/>
      <c r="E4" s="55"/>
      <c r="F4" s="55"/>
      <c r="G4" s="55"/>
      <c r="H4" s="55"/>
      <c r="I4" s="55"/>
      <c r="J4" s="55"/>
      <c r="K4" s="56"/>
    </row>
    <row r="5" spans="2:12" ht="36" customHeight="1" x14ac:dyDescent="0.35">
      <c r="B5" s="10" t="s">
        <v>78</v>
      </c>
      <c r="C5" s="10" t="s">
        <v>79</v>
      </c>
      <c r="D5" s="10" t="s">
        <v>80</v>
      </c>
      <c r="E5" s="10" t="s">
        <v>81</v>
      </c>
      <c r="F5" s="10" t="s">
        <v>82</v>
      </c>
      <c r="G5" s="10" t="s">
        <v>83</v>
      </c>
      <c r="H5" s="10" t="s">
        <v>84</v>
      </c>
      <c r="I5" s="10" t="s">
        <v>85</v>
      </c>
      <c r="J5" s="10" t="s">
        <v>86</v>
      </c>
      <c r="K5" s="10" t="s">
        <v>87</v>
      </c>
      <c r="L5" s="10" t="s">
        <v>88</v>
      </c>
    </row>
    <row r="6" spans="2:12" ht="55" customHeight="1" x14ac:dyDescent="0.35">
      <c r="B6" s="8" t="s">
        <v>302</v>
      </c>
      <c r="C6" s="8" t="s">
        <v>303</v>
      </c>
      <c r="D6" s="14" t="s">
        <v>67</v>
      </c>
      <c r="E6" s="8" t="s">
        <v>304</v>
      </c>
      <c r="F6" s="8" t="s">
        <v>305</v>
      </c>
      <c r="G6" s="8" t="s">
        <v>306</v>
      </c>
      <c r="H6" s="8" t="s">
        <v>307</v>
      </c>
      <c r="I6" s="8"/>
      <c r="J6" s="15" t="s">
        <v>95</v>
      </c>
      <c r="K6" s="8"/>
      <c r="L6" s="15" t="s">
        <v>95</v>
      </c>
    </row>
    <row r="7" spans="2:12" ht="55" customHeight="1" x14ac:dyDescent="0.35">
      <c r="B7" s="7" t="s">
        <v>308</v>
      </c>
      <c r="C7" s="7" t="s">
        <v>303</v>
      </c>
      <c r="D7" s="16" t="s">
        <v>69</v>
      </c>
      <c r="E7" s="7" t="s">
        <v>309</v>
      </c>
      <c r="F7" s="7" t="s">
        <v>310</v>
      </c>
      <c r="G7" s="7" t="s">
        <v>311</v>
      </c>
      <c r="H7" s="7" t="s">
        <v>312</v>
      </c>
      <c r="I7" s="7"/>
      <c r="J7" s="15" t="s">
        <v>95</v>
      </c>
      <c r="K7" s="7"/>
      <c r="L7" s="15" t="s">
        <v>95</v>
      </c>
    </row>
    <row r="8" spans="2:12" ht="55" customHeight="1" x14ac:dyDescent="0.35">
      <c r="B8" s="8" t="s">
        <v>313</v>
      </c>
      <c r="C8" s="8" t="s">
        <v>314</v>
      </c>
      <c r="D8" s="14" t="s">
        <v>67</v>
      </c>
      <c r="E8" s="8" t="s">
        <v>315</v>
      </c>
      <c r="F8" s="8" t="s">
        <v>316</v>
      </c>
      <c r="G8" s="8" t="s">
        <v>317</v>
      </c>
      <c r="H8" s="8" t="s">
        <v>318</v>
      </c>
      <c r="I8" s="8"/>
      <c r="J8" s="15" t="s">
        <v>95</v>
      </c>
      <c r="K8" s="8"/>
      <c r="L8" s="15" t="s">
        <v>95</v>
      </c>
    </row>
    <row r="9" spans="2:12" ht="55" customHeight="1" x14ac:dyDescent="0.35">
      <c r="B9" s="7" t="s">
        <v>319</v>
      </c>
      <c r="C9" s="7" t="s">
        <v>314</v>
      </c>
      <c r="D9" s="14" t="s">
        <v>67</v>
      </c>
      <c r="E9" s="7" t="s">
        <v>320</v>
      </c>
      <c r="F9" s="7" t="s">
        <v>189</v>
      </c>
      <c r="G9" s="7" t="s">
        <v>321</v>
      </c>
      <c r="H9" s="7" t="s">
        <v>322</v>
      </c>
      <c r="I9" s="7"/>
      <c r="J9" s="15" t="s">
        <v>95</v>
      </c>
      <c r="K9" s="7"/>
      <c r="L9" s="15" t="s">
        <v>95</v>
      </c>
    </row>
    <row r="10" spans="2:12" ht="55" customHeight="1" x14ac:dyDescent="0.35">
      <c r="B10" s="8" t="s">
        <v>323</v>
      </c>
      <c r="C10" s="8" t="s">
        <v>314</v>
      </c>
      <c r="D10" s="14" t="s">
        <v>67</v>
      </c>
      <c r="E10" s="8" t="s">
        <v>324</v>
      </c>
      <c r="F10" s="8" t="s">
        <v>325</v>
      </c>
      <c r="G10" s="8" t="s">
        <v>326</v>
      </c>
      <c r="H10" s="8" t="s">
        <v>327</v>
      </c>
      <c r="I10" s="8"/>
      <c r="J10" s="15" t="s">
        <v>95</v>
      </c>
      <c r="K10" s="8"/>
      <c r="L10" s="15" t="s">
        <v>95</v>
      </c>
    </row>
    <row r="11" spans="2:12" ht="55" customHeight="1" x14ac:dyDescent="0.35">
      <c r="B11" s="7" t="s">
        <v>328</v>
      </c>
      <c r="C11" s="7" t="s">
        <v>314</v>
      </c>
      <c r="D11" s="14" t="s">
        <v>67</v>
      </c>
      <c r="E11" s="7" t="s">
        <v>329</v>
      </c>
      <c r="F11" s="7" t="s">
        <v>330</v>
      </c>
      <c r="G11" s="7" t="s">
        <v>331</v>
      </c>
      <c r="H11" s="7" t="s">
        <v>332</v>
      </c>
      <c r="I11" s="7"/>
      <c r="J11" s="15" t="s">
        <v>95</v>
      </c>
      <c r="K11" s="7"/>
      <c r="L11" s="15" t="s">
        <v>95</v>
      </c>
    </row>
    <row r="12" spans="2:12" ht="55" customHeight="1" x14ac:dyDescent="0.35">
      <c r="B12" s="8" t="s">
        <v>333</v>
      </c>
      <c r="C12" s="8" t="s">
        <v>334</v>
      </c>
      <c r="D12" s="14" t="s">
        <v>67</v>
      </c>
      <c r="E12" s="8" t="s">
        <v>335</v>
      </c>
      <c r="F12" s="8" t="s">
        <v>336</v>
      </c>
      <c r="G12" s="8" t="s">
        <v>337</v>
      </c>
      <c r="H12" s="8" t="s">
        <v>338</v>
      </c>
      <c r="I12" s="8"/>
      <c r="J12" s="15" t="s">
        <v>95</v>
      </c>
      <c r="K12" s="8"/>
      <c r="L12" s="15" t="s">
        <v>95</v>
      </c>
    </row>
    <row r="13" spans="2:12" ht="55" customHeight="1" x14ac:dyDescent="0.35">
      <c r="B13" s="7" t="s">
        <v>339</v>
      </c>
      <c r="C13" s="7" t="s">
        <v>334</v>
      </c>
      <c r="D13" s="16" t="s">
        <v>69</v>
      </c>
      <c r="E13" s="7" t="s">
        <v>340</v>
      </c>
      <c r="F13" s="7" t="s">
        <v>341</v>
      </c>
      <c r="G13" s="7" t="s">
        <v>342</v>
      </c>
      <c r="H13" s="7" t="s">
        <v>343</v>
      </c>
      <c r="I13" s="7"/>
      <c r="J13" s="15" t="s">
        <v>95</v>
      </c>
      <c r="K13" s="7"/>
      <c r="L13" s="15" t="s">
        <v>95</v>
      </c>
    </row>
    <row r="14" spans="2:12" ht="55" customHeight="1" x14ac:dyDescent="0.35">
      <c r="B14" s="8" t="s">
        <v>344</v>
      </c>
      <c r="C14" s="8" t="s">
        <v>334</v>
      </c>
      <c r="D14" s="16" t="s">
        <v>69</v>
      </c>
      <c r="E14" s="8" t="s">
        <v>345</v>
      </c>
      <c r="F14" s="8" t="s">
        <v>346</v>
      </c>
      <c r="G14" s="8" t="s">
        <v>347</v>
      </c>
      <c r="H14" s="8" t="s">
        <v>348</v>
      </c>
      <c r="I14" s="8"/>
      <c r="J14" s="15" t="s">
        <v>95</v>
      </c>
      <c r="K14" s="8"/>
      <c r="L14" s="15" t="s">
        <v>95</v>
      </c>
    </row>
    <row r="15" spans="2:12" ht="55" customHeight="1" x14ac:dyDescent="0.35">
      <c r="B15" s="7" t="s">
        <v>349</v>
      </c>
      <c r="C15" s="7" t="s">
        <v>350</v>
      </c>
      <c r="D15" s="14" t="s">
        <v>67</v>
      </c>
      <c r="E15" s="7" t="s">
        <v>351</v>
      </c>
      <c r="F15" s="7" t="s">
        <v>352</v>
      </c>
      <c r="G15" s="7" t="s">
        <v>353</v>
      </c>
      <c r="H15" s="7" t="s">
        <v>354</v>
      </c>
      <c r="I15" s="7"/>
      <c r="J15" s="15" t="s">
        <v>95</v>
      </c>
      <c r="K15" s="7"/>
      <c r="L15" s="15" t="s">
        <v>95</v>
      </c>
    </row>
    <row r="16" spans="2:12" ht="55" customHeight="1" x14ac:dyDescent="0.35">
      <c r="B16" s="8" t="s">
        <v>355</v>
      </c>
      <c r="C16" s="8" t="s">
        <v>356</v>
      </c>
      <c r="D16" s="16" t="s">
        <v>69</v>
      </c>
      <c r="E16" s="8" t="s">
        <v>357</v>
      </c>
      <c r="F16" s="8" t="s">
        <v>358</v>
      </c>
      <c r="G16" s="8" t="s">
        <v>359</v>
      </c>
      <c r="H16" s="8" t="s">
        <v>360</v>
      </c>
      <c r="I16" s="8"/>
      <c r="J16" s="15" t="s">
        <v>95</v>
      </c>
      <c r="K16" s="8"/>
      <c r="L16" s="15" t="s">
        <v>95</v>
      </c>
    </row>
    <row r="17" spans="2:12" ht="55" customHeight="1" x14ac:dyDescent="0.35">
      <c r="B17" s="7" t="s">
        <v>361</v>
      </c>
      <c r="C17" s="7" t="s">
        <v>362</v>
      </c>
      <c r="D17" s="18" t="s">
        <v>71</v>
      </c>
      <c r="E17" s="7" t="s">
        <v>363</v>
      </c>
      <c r="F17" s="7" t="s">
        <v>364</v>
      </c>
      <c r="G17" s="7" t="s">
        <v>365</v>
      </c>
      <c r="H17" s="7" t="s">
        <v>366</v>
      </c>
      <c r="I17" s="7"/>
      <c r="J17" s="15" t="s">
        <v>95</v>
      </c>
      <c r="K17" s="7"/>
      <c r="L17" s="15" t="s">
        <v>95</v>
      </c>
    </row>
    <row r="18" spans="2:12" ht="55" customHeight="1" x14ac:dyDescent="0.35">
      <c r="B18" s="9" t="s">
        <v>367</v>
      </c>
      <c r="C18" s="17" t="s">
        <v>334</v>
      </c>
      <c r="D18" s="14" t="s">
        <v>67</v>
      </c>
      <c r="E18" s="17" t="s">
        <v>368</v>
      </c>
      <c r="F18" s="17" t="s">
        <v>369</v>
      </c>
      <c r="G18" s="17" t="s">
        <v>370</v>
      </c>
      <c r="H18" s="17" t="s">
        <v>371</v>
      </c>
      <c r="I18" s="17"/>
      <c r="J18" s="15" t="s">
        <v>95</v>
      </c>
      <c r="K18" s="17"/>
      <c r="L18" s="15" t="s">
        <v>95</v>
      </c>
    </row>
    <row r="19" spans="2:12" ht="55" customHeight="1" x14ac:dyDescent="0.35">
      <c r="B19" s="9" t="s">
        <v>372</v>
      </c>
      <c r="C19" s="17" t="s">
        <v>334</v>
      </c>
      <c r="D19" s="16" t="s">
        <v>69</v>
      </c>
      <c r="E19" s="17" t="s">
        <v>373</v>
      </c>
      <c r="F19" s="17" t="s">
        <v>374</v>
      </c>
      <c r="G19" s="17" t="s">
        <v>375</v>
      </c>
      <c r="H19" s="17" t="s">
        <v>376</v>
      </c>
      <c r="I19" s="17"/>
      <c r="J19" s="15" t="s">
        <v>95</v>
      </c>
      <c r="K19" s="17"/>
      <c r="L19" s="15" t="s">
        <v>95</v>
      </c>
    </row>
    <row r="20" spans="2:12" ht="55" customHeight="1" x14ac:dyDescent="0.35">
      <c r="B20" s="9" t="s">
        <v>377</v>
      </c>
      <c r="C20" s="17" t="s">
        <v>334</v>
      </c>
      <c r="D20" s="14" t="s">
        <v>67</v>
      </c>
      <c r="E20" s="17" t="s">
        <v>378</v>
      </c>
      <c r="F20" s="17" t="s">
        <v>379</v>
      </c>
      <c r="G20" s="17" t="s">
        <v>380</v>
      </c>
      <c r="H20" s="17" t="s">
        <v>381</v>
      </c>
      <c r="I20" s="17"/>
      <c r="J20" s="15" t="s">
        <v>95</v>
      </c>
      <c r="K20" s="17"/>
      <c r="L20" s="15" t="s">
        <v>95</v>
      </c>
    </row>
  </sheetData>
  <mergeCells count="3">
    <mergeCell ref="B4:K4"/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11"/>
  <sheetViews>
    <sheetView topLeftCell="A4" workbookViewId="0">
      <selection activeCell="G6" sqref="G6"/>
    </sheetView>
  </sheetViews>
  <sheetFormatPr baseColWidth="10" defaultColWidth="8.7265625" defaultRowHeight="14.5" x14ac:dyDescent="0.35"/>
  <cols>
    <col min="1" max="1" width="3" customWidth="1"/>
    <col min="2" max="2" width="8" customWidth="1"/>
    <col min="3" max="3" width="40" customWidth="1"/>
    <col min="4" max="4" width="50" customWidth="1"/>
    <col min="5" max="5" width="14" customWidth="1"/>
    <col min="6" max="6" width="3" customWidth="1"/>
  </cols>
  <sheetData>
    <row r="2" spans="2:5" ht="26" customHeight="1" x14ac:dyDescent="0.35">
      <c r="B2" s="58" t="s">
        <v>382</v>
      </c>
      <c r="C2" s="39"/>
      <c r="D2" s="39"/>
      <c r="E2" s="39"/>
    </row>
    <row r="3" spans="2:5" ht="18" customHeight="1" x14ac:dyDescent="0.35">
      <c r="B3" s="59" t="s">
        <v>383</v>
      </c>
      <c r="C3" s="39"/>
      <c r="D3" s="39"/>
      <c r="E3" s="39"/>
    </row>
    <row r="4" spans="2:5" ht="32" customHeight="1" x14ac:dyDescent="0.35">
      <c r="B4" s="10" t="s">
        <v>384</v>
      </c>
      <c r="C4" s="10" t="s">
        <v>385</v>
      </c>
      <c r="D4" s="10" t="s">
        <v>386</v>
      </c>
      <c r="E4" s="10" t="s">
        <v>387</v>
      </c>
    </row>
    <row r="5" spans="2:5" ht="80" customHeight="1" x14ac:dyDescent="0.35">
      <c r="B5" s="19" t="s">
        <v>388</v>
      </c>
      <c r="C5" s="7" t="s">
        <v>389</v>
      </c>
      <c r="D5" s="7" t="s">
        <v>390</v>
      </c>
      <c r="E5" s="7" t="s">
        <v>391</v>
      </c>
    </row>
    <row r="6" spans="2:5" ht="80" customHeight="1" x14ac:dyDescent="0.35">
      <c r="B6" s="20" t="s">
        <v>392</v>
      </c>
      <c r="C6" s="8" t="s">
        <v>393</v>
      </c>
      <c r="D6" s="8" t="s">
        <v>394</v>
      </c>
      <c r="E6" s="8" t="s">
        <v>391</v>
      </c>
    </row>
    <row r="7" spans="2:5" ht="80" customHeight="1" x14ac:dyDescent="0.35">
      <c r="B7" s="19" t="s">
        <v>395</v>
      </c>
      <c r="C7" s="7" t="s">
        <v>396</v>
      </c>
      <c r="D7" s="7" t="s">
        <v>397</v>
      </c>
      <c r="E7" s="7" t="s">
        <v>391</v>
      </c>
    </row>
    <row r="8" spans="2:5" ht="80" customHeight="1" x14ac:dyDescent="0.35">
      <c r="B8" s="20" t="s">
        <v>398</v>
      </c>
      <c r="C8" s="8" t="s">
        <v>399</v>
      </c>
      <c r="D8" s="8" t="s">
        <v>400</v>
      </c>
      <c r="E8" s="8" t="s">
        <v>391</v>
      </c>
    </row>
    <row r="9" spans="2:5" ht="80" customHeight="1" x14ac:dyDescent="0.35">
      <c r="B9" s="19" t="s">
        <v>401</v>
      </c>
      <c r="C9" s="7" t="s">
        <v>402</v>
      </c>
      <c r="D9" s="7" t="s">
        <v>403</v>
      </c>
      <c r="E9" s="7" t="s">
        <v>391</v>
      </c>
    </row>
    <row r="10" spans="2:5" ht="80" customHeight="1" x14ac:dyDescent="0.35">
      <c r="B10" s="9" t="s">
        <v>404</v>
      </c>
      <c r="C10" s="17" t="s">
        <v>405</v>
      </c>
      <c r="D10" s="17" t="s">
        <v>406</v>
      </c>
      <c r="E10" s="17" t="s">
        <v>391</v>
      </c>
    </row>
    <row r="11" spans="2:5" ht="80" customHeight="1" x14ac:dyDescent="0.35">
      <c r="B11" s="9" t="s">
        <v>407</v>
      </c>
      <c r="C11" s="17" t="s">
        <v>408</v>
      </c>
      <c r="D11" s="17" t="s">
        <v>409</v>
      </c>
      <c r="E11" s="17" t="s">
        <v>391</v>
      </c>
    </row>
  </sheetData>
  <mergeCells count="2">
    <mergeCell ref="B3:E3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17"/>
  <sheetViews>
    <sheetView workbookViewId="0"/>
  </sheetViews>
  <sheetFormatPr baseColWidth="10" defaultColWidth="8.7265625" defaultRowHeight="14.5" x14ac:dyDescent="0.35"/>
  <cols>
    <col min="1" max="1" width="3" customWidth="1"/>
    <col min="2" max="2" width="18" customWidth="1"/>
    <col min="3" max="3" width="12" customWidth="1"/>
    <col min="5" max="5" width="14" customWidth="1"/>
    <col min="6" max="6" width="12" customWidth="1"/>
    <col min="8" max="8" width="14" customWidth="1"/>
    <col min="9" max="9" width="16" customWidth="1"/>
    <col min="10" max="10" width="3" customWidth="1"/>
  </cols>
  <sheetData>
    <row r="2" spans="2:9" ht="28" customHeight="1" x14ac:dyDescent="0.35">
      <c r="B2" s="52" t="s">
        <v>410</v>
      </c>
      <c r="C2" s="39"/>
      <c r="D2" s="39"/>
      <c r="E2" s="39"/>
      <c r="F2" s="39"/>
      <c r="G2" s="39"/>
      <c r="H2" s="39"/>
      <c r="I2" s="39"/>
    </row>
    <row r="3" spans="2:9" ht="16" customHeight="1" x14ac:dyDescent="0.35">
      <c r="B3" s="63" t="s">
        <v>411</v>
      </c>
      <c r="C3" s="39"/>
      <c r="D3" s="39"/>
      <c r="E3" s="39"/>
      <c r="F3" s="39"/>
      <c r="G3" s="39"/>
      <c r="H3" s="39"/>
      <c r="I3" s="39"/>
    </row>
    <row r="5" spans="2:9" ht="20" customHeight="1" x14ac:dyDescent="0.35">
      <c r="B5" s="44" t="s">
        <v>412</v>
      </c>
      <c r="C5" s="39"/>
      <c r="D5" s="39"/>
      <c r="E5" s="39"/>
      <c r="F5" s="39"/>
      <c r="G5" s="39"/>
      <c r="H5" s="39"/>
      <c r="I5" s="39"/>
    </row>
    <row r="6" spans="2:9" ht="36" customHeight="1" x14ac:dyDescent="0.35">
      <c r="B6" s="10" t="s">
        <v>80</v>
      </c>
      <c r="C6" s="10" t="s">
        <v>413</v>
      </c>
      <c r="D6" s="10" t="s">
        <v>414</v>
      </c>
      <c r="E6" s="10" t="s">
        <v>415</v>
      </c>
      <c r="F6" s="10" t="s">
        <v>416</v>
      </c>
      <c r="G6" s="10" t="s">
        <v>417</v>
      </c>
      <c r="H6" s="10" t="s">
        <v>418</v>
      </c>
      <c r="I6" s="10" t="s">
        <v>419</v>
      </c>
    </row>
    <row r="7" spans="2:9" ht="22" customHeight="1" x14ac:dyDescent="0.35">
      <c r="B7" s="21" t="s">
        <v>67</v>
      </c>
      <c r="C7" s="21">
        <v>32</v>
      </c>
      <c r="D7" s="22"/>
      <c r="E7" s="22"/>
      <c r="F7" s="22"/>
      <c r="G7" s="22"/>
      <c r="H7" s="22"/>
      <c r="I7" s="22"/>
    </row>
    <row r="8" spans="2:9" ht="22" customHeight="1" x14ac:dyDescent="0.35">
      <c r="B8" s="23" t="s">
        <v>69</v>
      </c>
      <c r="C8" s="23">
        <v>19</v>
      </c>
      <c r="D8" s="22"/>
      <c r="E8" s="22"/>
      <c r="F8" s="22"/>
      <c r="G8" s="22"/>
      <c r="H8" s="22"/>
      <c r="I8" s="22"/>
    </row>
    <row r="9" spans="2:9" ht="22" customHeight="1" x14ac:dyDescent="0.35">
      <c r="B9" s="24" t="s">
        <v>71</v>
      </c>
      <c r="C9" s="24">
        <v>3</v>
      </c>
      <c r="D9" s="22"/>
      <c r="E9" s="22"/>
      <c r="F9" s="22"/>
      <c r="G9" s="22"/>
      <c r="H9" s="22"/>
      <c r="I9" s="22"/>
    </row>
    <row r="10" spans="2:9" ht="22" customHeight="1" x14ac:dyDescent="0.35">
      <c r="B10" s="25" t="s">
        <v>420</v>
      </c>
      <c r="C10" s="25">
        <v>54</v>
      </c>
      <c r="D10" s="22"/>
      <c r="E10" s="22"/>
      <c r="F10" s="22"/>
      <c r="G10" s="22"/>
      <c r="H10" s="22"/>
      <c r="I10" s="22"/>
    </row>
    <row r="11" spans="2:9" ht="28" customHeight="1" x14ac:dyDescent="0.35">
      <c r="B11" s="60" t="s">
        <v>421</v>
      </c>
      <c r="C11" s="61"/>
      <c r="D11" s="61"/>
      <c r="E11" s="61"/>
      <c r="F11" s="61"/>
      <c r="G11" s="61"/>
      <c r="H11" s="61"/>
      <c r="I11" s="62"/>
    </row>
    <row r="13" spans="2:9" ht="20" customHeight="1" x14ac:dyDescent="0.35">
      <c r="B13" s="44" t="s">
        <v>422</v>
      </c>
      <c r="C13" s="39"/>
      <c r="D13" s="39"/>
      <c r="E13" s="39"/>
      <c r="F13" s="39"/>
      <c r="G13" s="39"/>
      <c r="H13" s="39"/>
      <c r="I13" s="39"/>
    </row>
    <row r="14" spans="2:9" ht="20" customHeight="1" x14ac:dyDescent="0.35">
      <c r="B14" s="11" t="s">
        <v>67</v>
      </c>
      <c r="C14" s="49" t="s">
        <v>423</v>
      </c>
      <c r="D14" s="46"/>
      <c r="E14" s="46"/>
      <c r="F14" s="46"/>
      <c r="G14" s="46"/>
      <c r="H14" s="46"/>
      <c r="I14" s="47"/>
    </row>
    <row r="15" spans="2:9" ht="20" customHeight="1" x14ac:dyDescent="0.35">
      <c r="B15" s="12" t="s">
        <v>69</v>
      </c>
      <c r="C15" s="53" t="s">
        <v>424</v>
      </c>
      <c r="D15" s="46"/>
      <c r="E15" s="46"/>
      <c r="F15" s="46"/>
      <c r="G15" s="46"/>
      <c r="H15" s="46"/>
      <c r="I15" s="47"/>
    </row>
    <row r="16" spans="2:9" ht="20" customHeight="1" x14ac:dyDescent="0.35">
      <c r="B16" s="13" t="s">
        <v>71</v>
      </c>
      <c r="C16" s="51" t="s">
        <v>425</v>
      </c>
      <c r="D16" s="46"/>
      <c r="E16" s="46"/>
      <c r="F16" s="46"/>
      <c r="G16" s="46"/>
      <c r="H16" s="46"/>
      <c r="I16" s="47"/>
    </row>
    <row r="17" spans="2:9" ht="20" customHeight="1" x14ac:dyDescent="0.35">
      <c r="B17" s="11" t="s">
        <v>73</v>
      </c>
      <c r="C17" s="49" t="s">
        <v>426</v>
      </c>
      <c r="D17" s="46"/>
      <c r="E17" s="46"/>
      <c r="F17" s="46"/>
      <c r="G17" s="46"/>
      <c r="H17" s="46"/>
      <c r="I17" s="47"/>
    </row>
  </sheetData>
  <mergeCells count="9">
    <mergeCell ref="C14:I14"/>
    <mergeCell ref="B13:I13"/>
    <mergeCell ref="C17:I17"/>
    <mergeCell ref="B11:I11"/>
    <mergeCell ref="B2:I2"/>
    <mergeCell ref="B3:I3"/>
    <mergeCell ref="B5:I5"/>
    <mergeCell ref="C16:I16"/>
    <mergeCell ref="C15:I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topLeftCell="E1" workbookViewId="0">
      <selection sqref="A1:I1"/>
    </sheetView>
  </sheetViews>
  <sheetFormatPr baseColWidth="10" defaultColWidth="8.7265625" defaultRowHeight="14.5" x14ac:dyDescent="0.35"/>
  <cols>
    <col min="1" max="1" width="6" customWidth="1"/>
    <col min="2" max="2" width="14" customWidth="1"/>
    <col min="3" max="3" width="28" customWidth="1"/>
    <col min="4" max="4" width="30" customWidth="1"/>
    <col min="5" max="5" width="42" customWidth="1"/>
    <col min="6" max="6" width="38" customWidth="1"/>
    <col min="7" max="7" width="30" customWidth="1"/>
    <col min="8" max="8" width="12" customWidth="1"/>
    <col min="9" max="9" width="30" customWidth="1"/>
  </cols>
  <sheetData>
    <row r="1" spans="1:9" ht="28" customHeight="1" x14ac:dyDescent="0.35">
      <c r="A1" s="64" t="s">
        <v>427</v>
      </c>
      <c r="B1" s="39"/>
      <c r="C1" s="39"/>
      <c r="D1" s="39"/>
      <c r="E1" s="39"/>
      <c r="F1" s="39"/>
      <c r="G1" s="39"/>
      <c r="H1" s="39"/>
      <c r="I1" s="39"/>
    </row>
    <row r="2" spans="1:9" ht="14" customHeight="1" x14ac:dyDescent="0.35">
      <c r="A2" s="67" t="s">
        <v>428</v>
      </c>
      <c r="B2" s="39"/>
      <c r="C2" s="39"/>
      <c r="D2" s="39"/>
      <c r="E2" s="39"/>
      <c r="F2" s="39"/>
      <c r="G2" s="39"/>
      <c r="H2" s="39"/>
      <c r="I2" s="39"/>
    </row>
    <row r="3" spans="1:9" ht="36" customHeight="1" x14ac:dyDescent="0.35">
      <c r="A3" s="26" t="s">
        <v>429</v>
      </c>
      <c r="B3" s="26" t="s">
        <v>430</v>
      </c>
      <c r="C3" s="26" t="s">
        <v>431</v>
      </c>
      <c r="D3" s="26" t="s">
        <v>432</v>
      </c>
      <c r="E3" s="26" t="s">
        <v>433</v>
      </c>
      <c r="F3" s="26" t="s">
        <v>84</v>
      </c>
      <c r="G3" s="26" t="s">
        <v>434</v>
      </c>
      <c r="H3" s="26" t="s">
        <v>12</v>
      </c>
      <c r="I3" s="26" t="s">
        <v>435</v>
      </c>
    </row>
    <row r="4" spans="1:9" ht="55" customHeight="1" x14ac:dyDescent="0.35">
      <c r="A4" s="27" t="s">
        <v>436</v>
      </c>
      <c r="B4" s="28" t="s">
        <v>437</v>
      </c>
      <c r="C4" s="28" t="s">
        <v>438</v>
      </c>
      <c r="D4" s="28" t="s">
        <v>439</v>
      </c>
      <c r="E4" s="28" t="s">
        <v>440</v>
      </c>
      <c r="F4" s="28" t="s">
        <v>441</v>
      </c>
      <c r="G4" s="28"/>
      <c r="H4" s="29" t="s">
        <v>17</v>
      </c>
      <c r="I4" s="28"/>
    </row>
    <row r="5" spans="1:9" ht="55" customHeight="1" x14ac:dyDescent="0.35">
      <c r="A5" s="30" t="s">
        <v>442</v>
      </c>
      <c r="B5" s="31" t="s">
        <v>437</v>
      </c>
      <c r="C5" s="31" t="s">
        <v>443</v>
      </c>
      <c r="D5" s="31" t="s">
        <v>444</v>
      </c>
      <c r="E5" s="31" t="s">
        <v>445</v>
      </c>
      <c r="F5" s="31" t="s">
        <v>446</v>
      </c>
      <c r="G5" s="31"/>
      <c r="H5" s="32" t="s">
        <v>17</v>
      </c>
      <c r="I5" s="31"/>
    </row>
    <row r="6" spans="1:9" ht="55" customHeight="1" x14ac:dyDescent="0.35">
      <c r="A6" s="27" t="s">
        <v>447</v>
      </c>
      <c r="B6" s="28" t="s">
        <v>437</v>
      </c>
      <c r="C6" s="28" t="s">
        <v>448</v>
      </c>
      <c r="D6" s="28" t="s">
        <v>449</v>
      </c>
      <c r="E6" s="28" t="s">
        <v>450</v>
      </c>
      <c r="F6" s="28" t="s">
        <v>451</v>
      </c>
      <c r="G6" s="28"/>
      <c r="H6" s="29" t="s">
        <v>17</v>
      </c>
      <c r="I6" s="28"/>
    </row>
    <row r="7" spans="1:9" ht="55" customHeight="1" x14ac:dyDescent="0.35">
      <c r="A7" s="30" t="s">
        <v>452</v>
      </c>
      <c r="B7" s="31" t="s">
        <v>437</v>
      </c>
      <c r="C7" s="31" t="s">
        <v>262</v>
      </c>
      <c r="D7" s="31" t="s">
        <v>453</v>
      </c>
      <c r="E7" s="31" t="s">
        <v>454</v>
      </c>
      <c r="F7" s="31" t="s">
        <v>455</v>
      </c>
      <c r="G7" s="31"/>
      <c r="H7" s="32" t="s">
        <v>17</v>
      </c>
      <c r="I7" s="31" t="s">
        <v>456</v>
      </c>
    </row>
    <row r="8" spans="1:9" ht="55" customHeight="1" x14ac:dyDescent="0.35">
      <c r="A8" s="27" t="s">
        <v>457</v>
      </c>
      <c r="B8" s="28" t="s">
        <v>437</v>
      </c>
      <c r="C8" s="28" t="s">
        <v>458</v>
      </c>
      <c r="D8" s="28" t="s">
        <v>459</v>
      </c>
      <c r="E8" s="28" t="s">
        <v>460</v>
      </c>
      <c r="F8" s="28" t="s">
        <v>461</v>
      </c>
      <c r="G8" s="28"/>
      <c r="H8" s="29" t="s">
        <v>17</v>
      </c>
      <c r="I8" s="28"/>
    </row>
    <row r="9" spans="1:9" ht="55" customHeight="1" x14ac:dyDescent="0.35">
      <c r="A9" s="30" t="s">
        <v>462</v>
      </c>
      <c r="B9" s="31" t="s">
        <v>463</v>
      </c>
      <c r="C9" s="31" t="s">
        <v>274</v>
      </c>
      <c r="D9" s="31" t="s">
        <v>464</v>
      </c>
      <c r="E9" s="31" t="s">
        <v>465</v>
      </c>
      <c r="F9" s="31" t="s">
        <v>466</v>
      </c>
      <c r="G9" s="31"/>
      <c r="H9" s="32" t="s">
        <v>17</v>
      </c>
      <c r="I9" s="31"/>
    </row>
    <row r="10" spans="1:9" ht="55" customHeight="1" x14ac:dyDescent="0.35">
      <c r="A10" s="27" t="s">
        <v>467</v>
      </c>
      <c r="B10" s="28" t="s">
        <v>463</v>
      </c>
      <c r="C10" s="28" t="s">
        <v>468</v>
      </c>
      <c r="D10" s="28" t="s">
        <v>469</v>
      </c>
      <c r="E10" s="28" t="s">
        <v>470</v>
      </c>
      <c r="F10" s="28" t="s">
        <v>471</v>
      </c>
      <c r="G10" s="28"/>
      <c r="H10" s="29" t="s">
        <v>17</v>
      </c>
      <c r="I10" s="28" t="s">
        <v>472</v>
      </c>
    </row>
    <row r="11" spans="1:9" ht="55" customHeight="1" x14ac:dyDescent="0.35">
      <c r="A11" s="30" t="s">
        <v>473</v>
      </c>
      <c r="B11" s="31" t="s">
        <v>463</v>
      </c>
      <c r="C11" s="31" t="s">
        <v>474</v>
      </c>
      <c r="D11" s="31" t="s">
        <v>475</v>
      </c>
      <c r="E11" s="31" t="s">
        <v>476</v>
      </c>
      <c r="F11" s="31" t="s">
        <v>477</v>
      </c>
      <c r="G11" s="31"/>
      <c r="H11" s="32" t="s">
        <v>17</v>
      </c>
      <c r="I11" s="31"/>
    </row>
    <row r="12" spans="1:9" ht="55" customHeight="1" x14ac:dyDescent="0.35">
      <c r="A12" s="27" t="s">
        <v>478</v>
      </c>
      <c r="B12" s="28" t="s">
        <v>479</v>
      </c>
      <c r="C12" s="28" t="s">
        <v>480</v>
      </c>
      <c r="D12" s="28" t="s">
        <v>481</v>
      </c>
      <c r="E12" s="28" t="s">
        <v>482</v>
      </c>
      <c r="F12" s="28" t="s">
        <v>483</v>
      </c>
      <c r="G12" s="28"/>
      <c r="H12" s="29" t="s">
        <v>17</v>
      </c>
      <c r="I12" s="28"/>
    </row>
    <row r="13" spans="1:9" ht="55" customHeight="1" x14ac:dyDescent="0.35">
      <c r="A13" s="30" t="s">
        <v>484</v>
      </c>
      <c r="B13" s="31" t="s">
        <v>479</v>
      </c>
      <c r="C13" s="31" t="s">
        <v>485</v>
      </c>
      <c r="D13" s="31" t="s">
        <v>486</v>
      </c>
      <c r="E13" s="31" t="s">
        <v>487</v>
      </c>
      <c r="F13" s="31" t="s">
        <v>488</v>
      </c>
      <c r="G13" s="31"/>
      <c r="H13" s="32" t="s">
        <v>17</v>
      </c>
      <c r="I13" s="31"/>
    </row>
    <row r="14" spans="1:9" ht="20" customHeight="1" x14ac:dyDescent="0.35">
      <c r="A14" s="65" t="s">
        <v>420</v>
      </c>
      <c r="B14" s="66"/>
      <c r="C14" s="66"/>
      <c r="D14" s="66"/>
      <c r="E14" s="66"/>
      <c r="F14" s="66"/>
      <c r="G14" s="36"/>
      <c r="H14" s="33" t="str">
        <f>COUNTIF(H4:H13,"RÉUSSI")&amp;" / 10"</f>
        <v>0 / 10</v>
      </c>
      <c r="I14" s="34" t="s">
        <v>489</v>
      </c>
    </row>
  </sheetData>
  <mergeCells count="3">
    <mergeCell ref="A1:I1"/>
    <mergeCell ref="A14:G14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topLeftCell="D2" workbookViewId="0">
      <selection sqref="A1:I1"/>
    </sheetView>
  </sheetViews>
  <sheetFormatPr baseColWidth="10" defaultColWidth="8.7265625" defaultRowHeight="14.5" x14ac:dyDescent="0.35"/>
  <cols>
    <col min="1" max="1" width="6" customWidth="1"/>
    <col min="2" max="2" width="14" customWidth="1"/>
    <col min="3" max="3" width="28" customWidth="1"/>
    <col min="4" max="4" width="30" customWidth="1"/>
    <col min="5" max="5" width="42" customWidth="1"/>
    <col min="6" max="6" width="38" customWidth="1"/>
    <col min="7" max="7" width="30" customWidth="1"/>
    <col min="8" max="8" width="12" customWidth="1"/>
    <col min="9" max="9" width="30" customWidth="1"/>
  </cols>
  <sheetData>
    <row r="1" spans="1:9" ht="28" customHeight="1" x14ac:dyDescent="0.35">
      <c r="A1" s="64" t="s">
        <v>490</v>
      </c>
      <c r="B1" s="39"/>
      <c r="C1" s="39"/>
      <c r="D1" s="39"/>
      <c r="E1" s="39"/>
      <c r="F1" s="39"/>
      <c r="G1" s="39"/>
      <c r="H1" s="39"/>
      <c r="I1" s="39"/>
    </row>
    <row r="2" spans="1:9" ht="14" customHeight="1" x14ac:dyDescent="0.35">
      <c r="A2" s="67" t="s">
        <v>428</v>
      </c>
      <c r="B2" s="39"/>
      <c r="C2" s="39"/>
      <c r="D2" s="39"/>
      <c r="E2" s="39"/>
      <c r="F2" s="39"/>
      <c r="G2" s="39"/>
      <c r="H2" s="39"/>
      <c r="I2" s="39"/>
    </row>
    <row r="3" spans="1:9" ht="36" customHeight="1" x14ac:dyDescent="0.35">
      <c r="A3" s="26" t="s">
        <v>429</v>
      </c>
      <c r="B3" s="26" t="s">
        <v>430</v>
      </c>
      <c r="C3" s="26" t="s">
        <v>431</v>
      </c>
      <c r="D3" s="26" t="s">
        <v>432</v>
      </c>
      <c r="E3" s="26" t="s">
        <v>433</v>
      </c>
      <c r="F3" s="26" t="s">
        <v>84</v>
      </c>
      <c r="G3" s="26" t="s">
        <v>434</v>
      </c>
      <c r="H3" s="26" t="s">
        <v>12</v>
      </c>
      <c r="I3" s="26" t="s">
        <v>435</v>
      </c>
    </row>
    <row r="4" spans="1:9" ht="55" customHeight="1" x14ac:dyDescent="0.35">
      <c r="A4" s="27" t="s">
        <v>491</v>
      </c>
      <c r="B4" s="28" t="s">
        <v>492</v>
      </c>
      <c r="C4" s="28" t="s">
        <v>493</v>
      </c>
      <c r="D4" s="28" t="s">
        <v>494</v>
      </c>
      <c r="E4" s="28" t="s">
        <v>495</v>
      </c>
      <c r="F4" s="28" t="s">
        <v>496</v>
      </c>
      <c r="G4" s="28"/>
      <c r="H4" s="29" t="s">
        <v>17</v>
      </c>
      <c r="I4" s="28" t="s">
        <v>497</v>
      </c>
    </row>
    <row r="5" spans="1:9" ht="55" customHeight="1" x14ac:dyDescent="0.35">
      <c r="A5" s="30" t="s">
        <v>498</v>
      </c>
      <c r="B5" s="31" t="s">
        <v>492</v>
      </c>
      <c r="C5" s="31" t="s">
        <v>499</v>
      </c>
      <c r="D5" s="31" t="s">
        <v>500</v>
      </c>
      <c r="E5" s="31" t="s">
        <v>501</v>
      </c>
      <c r="F5" s="31" t="s">
        <v>502</v>
      </c>
      <c r="G5" s="31"/>
      <c r="H5" s="32" t="s">
        <v>17</v>
      </c>
      <c r="I5" s="31" t="s">
        <v>503</v>
      </c>
    </row>
    <row r="6" spans="1:9" ht="55" customHeight="1" x14ac:dyDescent="0.35">
      <c r="A6" s="27" t="s">
        <v>504</v>
      </c>
      <c r="B6" s="28" t="s">
        <v>492</v>
      </c>
      <c r="C6" s="28" t="s">
        <v>505</v>
      </c>
      <c r="D6" s="28" t="s">
        <v>506</v>
      </c>
      <c r="E6" s="28" t="s">
        <v>507</v>
      </c>
      <c r="F6" s="28" t="s">
        <v>508</v>
      </c>
      <c r="G6" s="28"/>
      <c r="H6" s="29" t="s">
        <v>17</v>
      </c>
      <c r="I6" s="28"/>
    </row>
    <row r="7" spans="1:9" ht="55" customHeight="1" x14ac:dyDescent="0.35">
      <c r="A7" s="30" t="s">
        <v>509</v>
      </c>
      <c r="B7" s="31" t="s">
        <v>510</v>
      </c>
      <c r="C7" s="31" t="s">
        <v>511</v>
      </c>
      <c r="D7" s="31" t="s">
        <v>506</v>
      </c>
      <c r="E7" s="31" t="s">
        <v>512</v>
      </c>
      <c r="F7" s="31" t="s">
        <v>513</v>
      </c>
      <c r="G7" s="31"/>
      <c r="H7" s="32" t="s">
        <v>17</v>
      </c>
      <c r="I7" s="31"/>
    </row>
    <row r="8" spans="1:9" ht="55" customHeight="1" x14ac:dyDescent="0.35">
      <c r="A8" s="27" t="s">
        <v>514</v>
      </c>
      <c r="B8" s="28" t="s">
        <v>510</v>
      </c>
      <c r="C8" s="28" t="s">
        <v>515</v>
      </c>
      <c r="D8" s="28" t="s">
        <v>516</v>
      </c>
      <c r="E8" s="28" t="s">
        <v>517</v>
      </c>
      <c r="F8" s="28" t="s">
        <v>518</v>
      </c>
      <c r="G8" s="28"/>
      <c r="H8" s="29" t="s">
        <v>17</v>
      </c>
      <c r="I8" s="28" t="s">
        <v>519</v>
      </c>
    </row>
    <row r="9" spans="1:9" ht="55" customHeight="1" x14ac:dyDescent="0.35">
      <c r="A9" s="30" t="s">
        <v>520</v>
      </c>
      <c r="B9" s="31" t="s">
        <v>521</v>
      </c>
      <c r="C9" s="31" t="s">
        <v>522</v>
      </c>
      <c r="D9" s="31" t="s">
        <v>523</v>
      </c>
      <c r="E9" s="31" t="s">
        <v>524</v>
      </c>
      <c r="F9" s="31" t="s">
        <v>525</v>
      </c>
      <c r="G9" s="31"/>
      <c r="H9" s="32" t="s">
        <v>17</v>
      </c>
      <c r="I9" s="31" t="s">
        <v>526</v>
      </c>
    </row>
    <row r="10" spans="1:9" ht="55" customHeight="1" x14ac:dyDescent="0.35">
      <c r="A10" s="27" t="s">
        <v>527</v>
      </c>
      <c r="B10" s="28" t="s">
        <v>521</v>
      </c>
      <c r="C10" s="28" t="s">
        <v>528</v>
      </c>
      <c r="D10" s="28" t="s">
        <v>529</v>
      </c>
      <c r="E10" s="28" t="s">
        <v>530</v>
      </c>
      <c r="F10" s="28" t="s">
        <v>531</v>
      </c>
      <c r="G10" s="28"/>
      <c r="H10" s="29" t="s">
        <v>17</v>
      </c>
      <c r="I10" s="28"/>
    </row>
    <row r="11" spans="1:9" ht="55" customHeight="1" x14ac:dyDescent="0.35">
      <c r="A11" s="30" t="s">
        <v>532</v>
      </c>
      <c r="B11" s="31" t="s">
        <v>533</v>
      </c>
      <c r="C11" s="31" t="s">
        <v>534</v>
      </c>
      <c r="D11" s="31" t="s">
        <v>535</v>
      </c>
      <c r="E11" s="31" t="s">
        <v>536</v>
      </c>
      <c r="F11" s="31" t="s">
        <v>537</v>
      </c>
      <c r="G11" s="31"/>
      <c r="H11" s="32" t="s">
        <v>17</v>
      </c>
      <c r="I11" s="31"/>
    </row>
    <row r="12" spans="1:9" ht="55" customHeight="1" x14ac:dyDescent="0.35">
      <c r="A12" s="27" t="s">
        <v>538</v>
      </c>
      <c r="B12" s="28" t="s">
        <v>539</v>
      </c>
      <c r="C12" s="28" t="s">
        <v>540</v>
      </c>
      <c r="D12" s="28" t="s">
        <v>541</v>
      </c>
      <c r="E12" s="28" t="s">
        <v>542</v>
      </c>
      <c r="F12" s="28" t="s">
        <v>543</v>
      </c>
      <c r="G12" s="28"/>
      <c r="H12" s="29" t="s">
        <v>17</v>
      </c>
      <c r="I12" s="28"/>
    </row>
    <row r="13" spans="1:9" ht="55" customHeight="1" x14ac:dyDescent="0.35">
      <c r="A13" s="30" t="s">
        <v>544</v>
      </c>
      <c r="B13" s="31" t="s">
        <v>539</v>
      </c>
      <c r="C13" s="31" t="s">
        <v>545</v>
      </c>
      <c r="D13" s="31" t="s">
        <v>546</v>
      </c>
      <c r="E13" s="31" t="s">
        <v>547</v>
      </c>
      <c r="F13" s="31" t="s">
        <v>548</v>
      </c>
      <c r="G13" s="31"/>
      <c r="H13" s="32" t="s">
        <v>17</v>
      </c>
      <c r="I13" s="31"/>
    </row>
    <row r="14" spans="1:9" ht="55" customHeight="1" x14ac:dyDescent="0.35">
      <c r="A14" s="27" t="s">
        <v>549</v>
      </c>
      <c r="B14" s="28" t="s">
        <v>539</v>
      </c>
      <c r="C14" s="28" t="s">
        <v>550</v>
      </c>
      <c r="D14" s="28" t="s">
        <v>551</v>
      </c>
      <c r="E14" s="28" t="s">
        <v>552</v>
      </c>
      <c r="F14" s="28" t="s">
        <v>553</v>
      </c>
      <c r="G14" s="28"/>
      <c r="H14" s="29" t="s">
        <v>17</v>
      </c>
      <c r="I14" s="28"/>
    </row>
    <row r="15" spans="1:9" ht="55" customHeight="1" x14ac:dyDescent="0.35">
      <c r="A15" s="30" t="s">
        <v>554</v>
      </c>
      <c r="B15" s="31" t="s">
        <v>555</v>
      </c>
      <c r="C15" s="31" t="s">
        <v>556</v>
      </c>
      <c r="D15" s="31" t="s">
        <v>557</v>
      </c>
      <c r="E15" s="31" t="s">
        <v>558</v>
      </c>
      <c r="F15" s="31" t="s">
        <v>559</v>
      </c>
      <c r="G15" s="31"/>
      <c r="H15" s="32" t="s">
        <v>17</v>
      </c>
      <c r="I15" s="31" t="s">
        <v>560</v>
      </c>
    </row>
    <row r="16" spans="1:9" ht="55" customHeight="1" x14ac:dyDescent="0.35">
      <c r="A16" s="27" t="s">
        <v>561</v>
      </c>
      <c r="B16" s="28" t="s">
        <v>555</v>
      </c>
      <c r="C16" s="28" t="s">
        <v>562</v>
      </c>
      <c r="D16" s="28" t="s">
        <v>557</v>
      </c>
      <c r="E16" s="28" t="s">
        <v>563</v>
      </c>
      <c r="F16" s="28" t="s">
        <v>564</v>
      </c>
      <c r="G16" s="28"/>
      <c r="H16" s="29" t="s">
        <v>17</v>
      </c>
      <c r="I16" s="28"/>
    </row>
    <row r="17" spans="1:9" ht="55" customHeight="1" x14ac:dyDescent="0.35">
      <c r="A17" s="30" t="s">
        <v>565</v>
      </c>
      <c r="B17" s="31" t="s">
        <v>566</v>
      </c>
      <c r="C17" s="31" t="s">
        <v>567</v>
      </c>
      <c r="D17" s="31" t="s">
        <v>568</v>
      </c>
      <c r="E17" s="31" t="s">
        <v>569</v>
      </c>
      <c r="F17" s="31" t="s">
        <v>570</v>
      </c>
      <c r="G17" s="31"/>
      <c r="H17" s="32" t="s">
        <v>17</v>
      </c>
      <c r="I17" s="31" t="s">
        <v>571</v>
      </c>
    </row>
    <row r="18" spans="1:9" ht="55" customHeight="1" x14ac:dyDescent="0.35">
      <c r="A18" s="27" t="s">
        <v>572</v>
      </c>
      <c r="B18" s="28" t="s">
        <v>566</v>
      </c>
      <c r="C18" s="28" t="s">
        <v>573</v>
      </c>
      <c r="D18" s="28" t="s">
        <v>574</v>
      </c>
      <c r="E18" s="28" t="s">
        <v>575</v>
      </c>
      <c r="F18" s="28" t="s">
        <v>576</v>
      </c>
      <c r="G18" s="28"/>
      <c r="H18" s="29" t="s">
        <v>17</v>
      </c>
      <c r="I18" s="28" t="s">
        <v>577</v>
      </c>
    </row>
    <row r="19" spans="1:9" ht="20" customHeight="1" x14ac:dyDescent="0.35">
      <c r="A19" s="65" t="s">
        <v>420</v>
      </c>
      <c r="B19" s="66"/>
      <c r="C19" s="66"/>
      <c r="D19" s="66"/>
      <c r="E19" s="66"/>
      <c r="F19" s="66"/>
      <c r="G19" s="36"/>
      <c r="H19" s="33" t="str">
        <f>COUNTIF(H4:H18,"RÉUSSI")&amp;" / 15"</f>
        <v>0 / 15</v>
      </c>
      <c r="I19" s="34" t="s">
        <v>489</v>
      </c>
    </row>
  </sheetData>
  <mergeCells count="3">
    <mergeCell ref="A1:I1"/>
    <mergeCell ref="A19:G19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tabSelected="1" topLeftCell="E1" workbookViewId="0">
      <selection sqref="A1:I1"/>
    </sheetView>
  </sheetViews>
  <sheetFormatPr baseColWidth="10" defaultColWidth="8.7265625" defaultRowHeight="14.5" x14ac:dyDescent="0.35"/>
  <cols>
    <col min="1" max="1" width="6" customWidth="1"/>
    <col min="2" max="2" width="14" customWidth="1"/>
    <col min="3" max="3" width="28" customWidth="1"/>
    <col min="4" max="4" width="30" customWidth="1"/>
    <col min="5" max="5" width="42" customWidth="1"/>
    <col min="6" max="6" width="38" customWidth="1"/>
    <col min="7" max="7" width="30" customWidth="1"/>
    <col min="8" max="8" width="12" customWidth="1"/>
    <col min="9" max="9" width="30" customWidth="1"/>
  </cols>
  <sheetData>
    <row r="1" spans="1:9" ht="28" customHeight="1" x14ac:dyDescent="0.35">
      <c r="A1" s="64" t="s">
        <v>578</v>
      </c>
      <c r="B1" s="39"/>
      <c r="C1" s="39"/>
      <c r="D1" s="39"/>
      <c r="E1" s="39"/>
      <c r="F1" s="39"/>
      <c r="G1" s="39"/>
      <c r="H1" s="39"/>
      <c r="I1" s="39"/>
    </row>
    <row r="2" spans="1:9" ht="14" customHeight="1" x14ac:dyDescent="0.35">
      <c r="A2" s="67" t="s">
        <v>428</v>
      </c>
      <c r="B2" s="39"/>
      <c r="C2" s="39"/>
      <c r="D2" s="39"/>
      <c r="E2" s="39"/>
      <c r="F2" s="39"/>
      <c r="G2" s="39"/>
      <c r="H2" s="39"/>
      <c r="I2" s="39"/>
    </row>
    <row r="3" spans="1:9" ht="36" customHeight="1" x14ac:dyDescent="0.35">
      <c r="A3" s="26" t="s">
        <v>429</v>
      </c>
      <c r="B3" s="26" t="s">
        <v>430</v>
      </c>
      <c r="C3" s="26" t="s">
        <v>431</v>
      </c>
      <c r="D3" s="26" t="s">
        <v>432</v>
      </c>
      <c r="E3" s="26" t="s">
        <v>433</v>
      </c>
      <c r="F3" s="26" t="s">
        <v>84</v>
      </c>
      <c r="G3" s="26" t="s">
        <v>434</v>
      </c>
      <c r="H3" s="26" t="s">
        <v>12</v>
      </c>
      <c r="I3" s="26" t="s">
        <v>435</v>
      </c>
    </row>
    <row r="4" spans="1:9" ht="55" customHeight="1" x14ac:dyDescent="0.35">
      <c r="A4" s="27" t="s">
        <v>579</v>
      </c>
      <c r="B4" s="28" t="s">
        <v>580</v>
      </c>
      <c r="C4" s="28" t="s">
        <v>581</v>
      </c>
      <c r="D4" s="28" t="s">
        <v>582</v>
      </c>
      <c r="E4" s="28" t="s">
        <v>583</v>
      </c>
      <c r="F4" s="28" t="s">
        <v>584</v>
      </c>
      <c r="G4" s="28"/>
      <c r="H4" s="29" t="s">
        <v>17</v>
      </c>
      <c r="I4" s="28" t="s">
        <v>585</v>
      </c>
    </row>
    <row r="5" spans="1:9" ht="55" customHeight="1" x14ac:dyDescent="0.35">
      <c r="A5" s="30" t="s">
        <v>586</v>
      </c>
      <c r="B5" s="31" t="s">
        <v>580</v>
      </c>
      <c r="C5" s="31" t="s">
        <v>587</v>
      </c>
      <c r="D5" s="31" t="s">
        <v>588</v>
      </c>
      <c r="E5" s="31" t="s">
        <v>589</v>
      </c>
      <c r="F5" s="31" t="s">
        <v>590</v>
      </c>
      <c r="G5" s="31"/>
      <c r="H5" s="32" t="s">
        <v>17</v>
      </c>
      <c r="I5" s="31"/>
    </row>
    <row r="6" spans="1:9" ht="55" customHeight="1" x14ac:dyDescent="0.35">
      <c r="A6" s="27" t="s">
        <v>591</v>
      </c>
      <c r="B6" s="28" t="s">
        <v>592</v>
      </c>
      <c r="C6" s="28" t="s">
        <v>593</v>
      </c>
      <c r="D6" s="28" t="s">
        <v>594</v>
      </c>
      <c r="E6" s="28" t="s">
        <v>595</v>
      </c>
      <c r="F6" s="28" t="s">
        <v>596</v>
      </c>
      <c r="G6" s="28"/>
      <c r="H6" s="29" t="s">
        <v>17</v>
      </c>
      <c r="I6" s="28" t="s">
        <v>597</v>
      </c>
    </row>
    <row r="7" spans="1:9" ht="55" customHeight="1" x14ac:dyDescent="0.35">
      <c r="A7" s="30" t="s">
        <v>598</v>
      </c>
      <c r="B7" s="31" t="s">
        <v>592</v>
      </c>
      <c r="C7" s="31" t="s">
        <v>599</v>
      </c>
      <c r="D7" s="31" t="s">
        <v>600</v>
      </c>
      <c r="E7" s="31" t="s">
        <v>601</v>
      </c>
      <c r="F7" s="31" t="s">
        <v>602</v>
      </c>
      <c r="G7" s="31"/>
      <c r="H7" s="32" t="s">
        <v>17</v>
      </c>
      <c r="I7" s="31" t="s">
        <v>603</v>
      </c>
    </row>
    <row r="8" spans="1:9" ht="55" customHeight="1" x14ac:dyDescent="0.35">
      <c r="A8" s="27" t="s">
        <v>604</v>
      </c>
      <c r="B8" s="28" t="s">
        <v>605</v>
      </c>
      <c r="C8" s="28" t="s">
        <v>606</v>
      </c>
      <c r="D8" s="28" t="s">
        <v>607</v>
      </c>
      <c r="E8" s="28" t="s">
        <v>608</v>
      </c>
      <c r="F8" s="28" t="s">
        <v>609</v>
      </c>
      <c r="G8" s="28"/>
      <c r="H8" s="29" t="s">
        <v>17</v>
      </c>
      <c r="I8" s="28" t="s">
        <v>610</v>
      </c>
    </row>
    <row r="9" spans="1:9" ht="55" customHeight="1" x14ac:dyDescent="0.35">
      <c r="A9" s="30" t="s">
        <v>611</v>
      </c>
      <c r="B9" s="31" t="s">
        <v>612</v>
      </c>
      <c r="C9" s="31" t="s">
        <v>613</v>
      </c>
      <c r="D9" s="31" t="s">
        <v>614</v>
      </c>
      <c r="E9" s="31" t="s">
        <v>615</v>
      </c>
      <c r="F9" s="31" t="s">
        <v>616</v>
      </c>
      <c r="G9" s="31"/>
      <c r="H9" s="32" t="s">
        <v>17</v>
      </c>
      <c r="I9" s="31" t="s">
        <v>617</v>
      </c>
    </row>
    <row r="10" spans="1:9" ht="55" customHeight="1" x14ac:dyDescent="0.35">
      <c r="A10" s="27" t="s">
        <v>618</v>
      </c>
      <c r="B10" s="28" t="s">
        <v>619</v>
      </c>
      <c r="C10" s="28" t="s">
        <v>620</v>
      </c>
      <c r="D10" s="28" t="s">
        <v>621</v>
      </c>
      <c r="E10" s="28" t="s">
        <v>622</v>
      </c>
      <c r="F10" s="28" t="s">
        <v>623</v>
      </c>
      <c r="G10" s="28"/>
      <c r="H10" s="29" t="s">
        <v>17</v>
      </c>
      <c r="I10" s="28" t="s">
        <v>503</v>
      </c>
    </row>
    <row r="11" spans="1:9" ht="20" customHeight="1" x14ac:dyDescent="0.35">
      <c r="A11" s="65" t="s">
        <v>420</v>
      </c>
      <c r="B11" s="66"/>
      <c r="C11" s="66"/>
      <c r="D11" s="66"/>
      <c r="E11" s="66"/>
      <c r="F11" s="66"/>
      <c r="G11" s="36"/>
      <c r="H11" s="33" t="str">
        <f>COUNTIF(H4:H10,"RÉUSSI")&amp;" / 7"</f>
        <v>0 / 7</v>
      </c>
      <c r="I11" s="34" t="s">
        <v>489</v>
      </c>
    </row>
  </sheetData>
  <mergeCells count="3">
    <mergeCell ref="A1:I1"/>
    <mergeCell ref="A11:G1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Page de garde</vt:lpstr>
      <vt:lpstr>Stratégie</vt:lpstr>
      <vt:lpstr>Tests Fonctionnels LOT3</vt:lpstr>
      <vt:lpstr>Tests Partie Commune</vt:lpstr>
      <vt:lpstr>Tests Sécurité &amp; Oracle</vt:lpstr>
      <vt:lpstr>Scénarios Jury</vt:lpstr>
      <vt:lpstr>Tableau de bord</vt:lpstr>
      <vt:lpstr>TC - Partie commune</vt:lpstr>
      <vt:lpstr>TC - Lot 3 Supervision</vt:lpstr>
      <vt:lpstr>TC - Non fonctionnels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elvis zongo</cp:lastModifiedBy>
  <dcterms:created xsi:type="dcterms:W3CDTF">2026-05-31T21:24:56Z</dcterms:created>
  <dcterms:modified xsi:type="dcterms:W3CDTF">2026-05-31T21:28:51Z</dcterms:modified>
</cp:coreProperties>
</file>